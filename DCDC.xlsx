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z04301\Downloads\session\session_upgrade\"/>
    </mc:Choice>
  </mc:AlternateContent>
  <xr:revisionPtr revIDLastSave="0" documentId="13_ncr:1_{8B7EFC89-38CD-4510-AF4F-4F5F062552C7}" xr6:coauthVersionLast="47" xr6:coauthVersionMax="47" xr10:uidLastSave="{00000000-0000-0000-0000-000000000000}"/>
  <bookViews>
    <workbookView xWindow="-110" yWindow="-110" windowWidth="19420" windowHeight="11500" activeTab="2" xr2:uid="{F77CD339-45CC-42E4-A021-65342EB17366}"/>
  </bookViews>
  <sheets>
    <sheet name="Update" sheetId="6" r:id="rId1"/>
    <sheet name="Définition" sheetId="7" r:id="rId2"/>
    <sheet name="Bilan DCDC" sheetId="8" r:id="rId3"/>
    <sheet name="Graph" sheetId="9" r:id="rId4"/>
    <sheet name="Bilan -7°C" sheetId="2" r:id="rId5"/>
    <sheet name="Graph -7°C" sheetId="3" r:id="rId6"/>
  </sheets>
  <definedNames>
    <definedName name="\0">#REF!</definedName>
    <definedName name="\a">#REF!</definedName>
    <definedName name="\m">#REF!</definedName>
    <definedName name="\q">#REF!</definedName>
    <definedName name="____L84">[0]!____L84</definedName>
    <definedName name="____mi1" hidden="1">{"CORSA",#N/A,FALSE,"RESUMO FINAL";"KADETT",#N/A,FALSE,"RESUMO FINAL";"VECTRA",#N/A,FALSE,"RESUMO FINAL";"OMEGA",#N/A,FALSE,"RESUMO FINAL";"S_10",#N/A,FALSE,"RESUMO FINAL";"BLAZER",#N/A,FALSE,"RESUMO FINAL"}</definedName>
    <definedName name="___L84">[0]!___L84</definedName>
    <definedName name="___mi1" hidden="1">{"CORSA",#N/A,FALSE,"RESUMO FINAL";"KADETT",#N/A,FALSE,"RESUMO FINAL";"VECTRA",#N/A,FALSE,"RESUMO FINAL";"OMEGA",#N/A,FALSE,"RESUMO FINAL";"S_10",#N/A,FALSE,"RESUMO FINAL";"BLAZER",#N/A,FALSE,"RESUMO FINAL"}</definedName>
    <definedName name="__L84">[0]!__L84</definedName>
    <definedName name="__mi1" hidden="1">{"CORSA",#N/A,FALSE,"RESUMO FINAL";"KADETT",#N/A,FALSE,"RESUMO FINAL";"VECTRA",#N/A,FALSE,"RESUMO FINAL";"OMEGA",#N/A,FALSE,"RESUMO FINAL";"S_10",#N/A,FALSE,"RESUMO FINAL";"BLAZER",#N/A,FALSE,"RESUMO FINAL"}</definedName>
    <definedName name="_005明細事業部">#REF!</definedName>
    <definedName name="_012事業部明細">#REF!</definedName>
    <definedName name="_101事業部明細">#REF!</definedName>
    <definedName name="_19565">#REF!</definedName>
    <definedName name="_f1" hidden="1">{#N/A,#N/A,FALSE,"C065 MP 46";#N/A,#N/A,FALSE,"Roulage hebdomadaire";#N/A,#N/A,FALSE,"X57J MP 326";#N/A,#N/A,FALSE,"BAO MP 40";#N/A,#N/A,FALSE,"557 TP 459"}</definedName>
    <definedName name="_xlnm._FilterDatabase" localSheetId="4" hidden="1">'Bilan -7°C'!$A$14:$AY$128</definedName>
    <definedName name="_xlnm._FilterDatabase" hidden="1">#REF!</definedName>
    <definedName name="_IND84">#REF!</definedName>
    <definedName name="_IND91">#REF!</definedName>
    <definedName name="_L84">[0]!_L84</definedName>
    <definedName name="_M13">#REF!</definedName>
    <definedName name="_M14">#REF!</definedName>
    <definedName name="_M16">#REF!</definedName>
    <definedName name="_M3">#REF!</definedName>
    <definedName name="_M4">#REF!</definedName>
    <definedName name="_M8">#REF!</definedName>
    <definedName name="_mi1" hidden="1">{"CORSA",#N/A,FALSE,"RESUMO FINAL";"KADETT",#N/A,FALSE,"RESUMO FINAL";"VECTRA",#N/A,FALSE,"RESUMO FINAL";"OMEGA",#N/A,FALSE,"RESUMO FINAL";"S_10",#N/A,FALSE,"RESUMO FINAL";"BLAZER",#N/A,FALSE,"RESUMO FINAL"}</definedName>
    <definedName name="_MS15">#REF!</definedName>
    <definedName name="_Order1" hidden="1">1</definedName>
    <definedName name="_Order2" hidden="1">255</definedName>
    <definedName name="_R7">#REF!</definedName>
    <definedName name="_Regression_Int" hidden="1">1</definedName>
    <definedName name="○と×">#REF!</definedName>
    <definedName name="a" hidden="1">{"CORSA",#N/A,FALSE,"RESUMO FINAL";"KADETT",#N/A,FALSE,"RESUMO FINAL";"VECTRA",#N/A,FALSE,"RESUMO FINAL";"OMEGA",#N/A,FALSE,"RESUMO FINAL";"S_10",#N/A,FALSE,"RESUMO FINAL";"BLAZER",#N/A,FALSE,"RESUMO FINAL"}</definedName>
    <definedName name="A1A">#REF!</definedName>
    <definedName name="aaa">#REF!</definedName>
    <definedName name="Abattant">#REF!</definedName>
    <definedName name="AccessButton">"PostK9b1_Synthèse_composants_Liste"</definedName>
    <definedName name="AccessDatabase" hidden="1">"C:\HOME\CARLIER\uet_gd\Proj_K9\dt_sys\PostK9b1.mdb"</definedName>
    <definedName name="aci">#REF!</definedName>
    <definedName name="AcPilote_i">#REF!</definedName>
    <definedName name="afficherMasquerLesFeuilles">[0]!afficherMasquerLesFeuilles</definedName>
    <definedName name="Airbags_AR">#REF!</definedName>
    <definedName name="Airbags_AV">#REF!</definedName>
    <definedName name="AK">[0]!AK</definedName>
    <definedName name="alpha1_B">#REF!</definedName>
    <definedName name="alpha1_H">#REF!</definedName>
    <definedName name="alpha2">#REF!</definedName>
    <definedName name="Antennes">#REF!</definedName>
    <definedName name="Anti_brouillards">#REF!</definedName>
    <definedName name="Attelage">#REF!</definedName>
    <definedName name="Avertisseur_sonore">#REF!</definedName>
    <definedName name="b" hidden="1">{"CORSA",#N/A,FALSE,"RESUMO FINAL";"KADETT",#N/A,FALSE,"RESUMO FINAL";"VECTRA",#N/A,FALSE,"RESUMO FINAL";"OMEGA",#N/A,FALSE,"RESUMO FINAL";"S_10",#N/A,FALSE,"RESUMO FINAL";"BLAZER",#N/A,FALSE,"RESUMO FINAL"}</definedName>
    <definedName name="B_">#REF!</definedName>
    <definedName name="BASE">#REF!</definedName>
    <definedName name="_xlnm.Database">#REF!</definedName>
    <definedName name="bdd">#REF!</definedName>
    <definedName name="BILAN">#REF!</definedName>
    <definedName name="BILAN2">#REF!</definedName>
    <definedName name="boitprogrsa">#REF!</definedName>
    <definedName name="BOM">#REF!</definedName>
    <definedName name="Bouclier_AR">#REF!</definedName>
    <definedName name="Bouclier_AV">#REF!</definedName>
    <definedName name="Bouclier_AV_R_Type_Aventure">#REF!</definedName>
    <definedName name="BoutAbt">#N/A</definedName>
    <definedName name="BoutChk">#N/A</definedName>
    <definedName name="BoutCns">#N/A</definedName>
    <definedName name="BoutPdtdat">#N/A</definedName>
    <definedName name="bprsa">#REF!</definedName>
    <definedName name="BtnAideLiaison_QuandClic">#REF!</definedName>
    <definedName name="BtnAideNomFiche_QuandClic">#REF!</definedName>
    <definedName name="BtnAjout_Fiche_techno_QuandClic">#REF!</definedName>
    <definedName name="BtnOptions_QuandClic">#REF!</definedName>
    <definedName name="BtnPIN_QuandClic">#REF!</definedName>
    <definedName name="BtnRetourConnectique_QuandClic">#REF!</definedName>
    <definedName name="BtnRetourInterface_QuandClic">#REF!</definedName>
    <definedName name="BuiltIn_Consolidate_Area___1">#N/A</definedName>
    <definedName name="Câblages">#REF!</definedName>
    <definedName name="CABLAGES___RESERVOIR___CIRCUIT_CARBURANT___OUTILLAGE">#REF!</definedName>
    <definedName name="Calandre">#REF!</definedName>
    <definedName name="Capot_AV">#REF!</definedName>
    <definedName name="CDC">#REF!</definedName>
    <definedName name="Ceintures_de_sécurité_AR">#REF!</definedName>
    <definedName name="Ceintures_de_sécurité_AR_en_3ième_rangée">#REF!</definedName>
    <definedName name="Ceintures_de_sécurité_AV">#REF!</definedName>
    <definedName name="cg.copierDansFicheBilanSheet">[0]!cg.copierDansFicheBilanSheet</definedName>
    <definedName name="cg.entrerUneDateUnique">[0]!cg.entrerUneDateUnique</definedName>
    <definedName name="cg.listeDéroulantePourColonneAffichable">[0]!cg.listeDéroulantePourColonneAffichable</definedName>
    <definedName name="cg.listeDéroulantePourColonneFicheBilanSheet">[0]!cg.listeDéroulantePourColonneFicheBilanSheet</definedName>
    <definedName name="chap_CABLAGES__ELEC.">#REF!</definedName>
    <definedName name="chap_EQUIPEMENTS_EXTERIEURS">#REF!</definedName>
    <definedName name="chap_HABILLAGES___EQUIPEMENTS_SUR_HABILLAGES">#REF!</definedName>
    <definedName name="chap_LIAISON_AU_SOL">#REF!</definedName>
    <definedName name="chap_MECANISMES">#REF!</definedName>
    <definedName name="chap_MOTORISATIONS___TRANSMISSIONS___DEPOLLUTIONS">#REF!</definedName>
    <definedName name="chap_OUVRANTS">#REF!</definedName>
    <definedName name="chap_PACKS_EQUIPEMENTS">#REF!</definedName>
    <definedName name="chap_POSTE_DE_CONDUITE">#REF!</definedName>
    <definedName name="chap_RESERVOIR__CIRCUIT_CARBURANT___OUTILLAGE">#REF!</definedName>
    <definedName name="chap_SIEGES___EXTINCTEUR">#REF!</definedName>
    <definedName name="chap_SUPERSTRUCTURE">#REF!</definedName>
    <definedName name="chap_VITRAGES">#REF!</definedName>
    <definedName name="Charges_utiles">#REF!</definedName>
    <definedName name="Chauffage___Climatisation">#REF!</definedName>
    <definedName name="CheckSum1">#REF!</definedName>
    <definedName name="CheckSum2">#REF!</definedName>
    <definedName name="CheckSum3">#REF!</definedName>
    <definedName name="cle">#REF!</definedName>
    <definedName name="Cloison_derrière_sièges_1er_rang">#REF!</definedName>
    <definedName name="Cloison_derrière_sièges_2eme_rang">#REF!</definedName>
    <definedName name="coefcentrage">#REF!</definedName>
    <definedName name="Col_Allemand">#REF!</definedName>
    <definedName name="Col_Anglais">#REF!</definedName>
    <definedName name="Col_Calcul">#REF!</definedName>
    <definedName name="Col_CmdeActionAttendue">#REF!</definedName>
    <definedName name="Col_CmdePartage">#REF!</definedName>
    <definedName name="Col_ConditionUtilisation">#REF!</definedName>
    <definedName name="Col_Cotation">#REF!</definedName>
    <definedName name="Col_Espagnol">#REF!</definedName>
    <definedName name="Col_Hollandais">#REF!</definedName>
    <definedName name="Col_IndicateurPrestation">#REF!</definedName>
    <definedName name="Col_IndicateurProjet">#REF!</definedName>
    <definedName name="Col_Italien">#REF!</definedName>
    <definedName name="Col_Polonais">#REF!</definedName>
    <definedName name="Col_Portugais">#REF!</definedName>
    <definedName name="Col_PremierVeh">#REF!</definedName>
    <definedName name="Col_StatutPrestation">#REF!</definedName>
    <definedName name="Col_Total">#REF!</definedName>
    <definedName name="Col_Turque">#REF!</definedName>
    <definedName name="Colonnes">OFFSET(#REF!,0,0,1,COUNTA(#REF!)-1)</definedName>
    <definedName name="Commandes_électriques">#REF!</definedName>
    <definedName name="Commandes_HVAC____distribution_d_air_____HVAC___Heat_Ventilation___Air_Con">#REF!</definedName>
    <definedName name="Commandes_sous_volant">#REF!</definedName>
    <definedName name="Comp" hidden="1">{#N/A,#N/A,FALSE,"DE-MP 326";#N/A,#N/A,FALSE,"DE-MP 40";#N/A,#N/A,FALSE,"DE-MP 46";#N/A,#N/A,FALSE,"DE-TP 459"}</definedName>
    <definedName name="Config_KPI_1">#REF!</definedName>
    <definedName name="Config_KPI_2">#REF!</definedName>
    <definedName name="Config_KPI_3">#REF!</definedName>
    <definedName name="Config_KPI_4">#REF!</definedName>
    <definedName name="ConfigConformityStatus">#REF!</definedName>
    <definedName name="ConformanceLevels">#REF!</definedName>
    <definedName name="Console_centrale__levier_de_vitesses___habillage_du_frein_à_main">#REF!</definedName>
    <definedName name="Console_de_pavillon___Plafonnier">#REF!</definedName>
    <definedName name="copierDansFicheBilan">[0]!copierDansFicheBilan</definedName>
    <definedName name="copierDansFicheBilanSheet">[0]!copierDansFicheBilanSheet</definedName>
    <definedName name="Corps_de_planche">#REF!</definedName>
    <definedName name="coucou" hidden="1">{#N/A,#N/A,FALSE,"DE-MP 326";#N/A,#N/A,FALSE,"DE-MP 40";#N/A,#N/A,FALSE,"DE-MP 46";#N/A,#N/A,FALSE,"DE-TP 459"}</definedName>
    <definedName name="Couverture">#REF!</definedName>
    <definedName name="Coversheet">#REF!</definedName>
    <definedName name="CR">#N/A</definedName>
    <definedName name="Creation_Modeles">#N/A</definedName>
    <definedName name="_xlnm.Criteria" localSheetId="4">'Bilan -7°C'!$E$14:$F$86</definedName>
    <definedName name="_xlnm.Criteria">#REF!</definedName>
    <definedName name="d" hidden="1">{"CORSA",#N/A,FALSE,"RESUMO FINAL";"KADETT",#N/A,FALSE,"RESUMO FINAL";"VECTRA",#N/A,FALSE,"RESUMO FINAL";"OMEGA",#N/A,FALSE,"RESUMO FINAL";"S_10",#N/A,FALSE,"RESUMO FINAL";"BLAZER",#N/A,FALSE,"RESUMO FINAL"}</definedName>
    <definedName name="data">#REF!</definedName>
    <definedName name="DataArea">#REF!</definedName>
    <definedName name="DataAreaWithHeader">#REF!</definedName>
    <definedName name="date_actual">MONTH(#REF!)</definedName>
    <definedName name="datemad">#REF!</definedName>
    <definedName name="datemadc">#REF!</definedName>
    <definedName name="datemot">#REF!</definedName>
    <definedName name="datevéhi">#REF!</definedName>
    <definedName name="datev馼i">#REF!</definedName>
    <definedName name="Day_Running_Lights">#REF!</definedName>
    <definedName name="ddd">#REF!</definedName>
    <definedName name="DEBUT">#REF!</definedName>
    <definedName name="deded">#REF!</definedName>
    <definedName name="Dégivrage_AR">#REF!</definedName>
    <definedName name="dflt1">#REF!</definedName>
    <definedName name="dgdgfdrge">#REF!</definedName>
    <definedName name="DIAG_BAT">#REF!</definedName>
    <definedName name="DIAGFAM">#REF!</definedName>
    <definedName name="DIM_LEADTIME">#REF!</definedName>
    <definedName name="DIV_LEADTIME">#REF!</definedName>
    <definedName name="DocInfo">#REF!</definedName>
    <definedName name="DocTitle">#REF!</definedName>
    <definedName name="e" hidden="1">{"CORSA",#N/A,FALSE,"RESUMO FINAL";"KADETT",#N/A,FALSE,"RESUMO FINAL";"VECTRA",#N/A,FALSE,"RESUMO FINAL";"OMEGA",#N/A,FALSE,"RESUMO FINAL";"S_10",#N/A,FALSE,"RESUMO FINAL";"BLAZER",#N/A,FALSE,"RESUMO FINAL"}</definedName>
    <definedName name="ECL_BT">#REF!</definedName>
    <definedName name="Eclaireur_de_plaque_de_police">#REF!</definedName>
    <definedName name="Eclaireurs">#REF!</definedName>
    <definedName name="ECU_GENERIQUE">#REF!</definedName>
    <definedName name="ECUIdentInfoArea">#REF!</definedName>
    <definedName name="ECUsDataArea">#REF!</definedName>
    <definedName name="eee">#REF!</definedName>
    <definedName name="effacerTableBilan">[0]!effacerTableBilan</definedName>
    <definedName name="effacerTableDonnée">[0]!effacerTableDonnée</definedName>
    <definedName name="Eléments_aérodynamiques">#REF!</definedName>
    <definedName name="emulaf">#REF!</definedName>
    <definedName name="emularsa">#REF!</definedName>
    <definedName name="entrerUneDateUnique">#REF!</definedName>
    <definedName name="Essuie_vitre_AR">#REF!</definedName>
    <definedName name="Essuie_vitre_AV">#REF!</definedName>
    <definedName name="Etat">#REF!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44">#REF!</definedName>
    <definedName name="ExtendArea45">#REF!</definedName>
    <definedName name="ExtendArea46">#REF!</definedName>
    <definedName name="ExtendArea47">#REF!</definedName>
    <definedName name="ExtendArea48">#REF!</definedName>
    <definedName name="ExtendArea49">#REF!</definedName>
    <definedName name="ExtendArea5">#REF!</definedName>
    <definedName name="ExtendArea50">#REF!</definedName>
    <definedName name="ExtendArea51">#REF!</definedName>
    <definedName name="ExtendArea52">#REF!</definedName>
    <definedName name="ExtendArea53">#REF!</definedName>
    <definedName name="ExtendArea54">#REF!</definedName>
    <definedName name="ExtendArea55">#REF!</definedName>
    <definedName name="ExtendArea56">#REF!</definedName>
    <definedName name="ExtendArea6">#REF!</definedName>
    <definedName name="ExtendArea7">#REF!</definedName>
    <definedName name="ExtendArea8">#REF!</definedName>
    <definedName name="ExtendArea9">#REF!</definedName>
    <definedName name="Extincteur">#REF!</definedName>
    <definedName name="_xlnm.Extract">#REF!</definedName>
    <definedName name="F">#REF!</definedName>
    <definedName name="Famille">#REF!</definedName>
    <definedName name="Feux_AR">#REF!</definedName>
    <definedName name="Feux_indicateurs_de_direction">#REF!</definedName>
    <definedName name="Feux_stop_surélevé">#REF!</definedName>
    <definedName name="FF" hidden="1">{#N/A,#N/A,FALSE,"DE-MP 326";#N/A,#N/A,FALSE,"DE-MP 40";#N/A,#N/A,FALSE,"DE-MP 46";#N/A,#N/A,FALSE,"DE-TP 459"}</definedName>
    <definedName name="fff">#REF!</definedName>
    <definedName name="fgqhsh" hidden="1">{#N/A,#N/A,FALSE,"DE-MP 326";#N/A,#N/A,FALSE,"DE-MP 40";#N/A,#N/A,FALSE,"DE-MP 46";#N/A,#N/A,FALSE,"DE-TP 459"}</definedName>
    <definedName name="Fonctions">#REF!</definedName>
    <definedName name="FUITES2" hidden="1">{#N/A,#N/A,FALSE,"C065 MP 46";#N/A,#N/A,FALSE,"Roulage hebdomadaire";#N/A,#N/A,FALSE,"X57J MP 326";#N/A,#N/A,FALSE,"BAO MP 40";#N/A,#N/A,FALSE,"557 TP 459"}</definedName>
    <definedName name="G">#REF!</definedName>
    <definedName name="Galerie">#REF!</definedName>
    <definedName name="gamma">#REF!</definedName>
    <definedName name="gammes1" hidden="1">{"CORSA",#N/A,FALSE,"RESUMO FINAL";"KADETT",#N/A,FALSE,"RESUMO FINAL";"VECTRA",#N/A,FALSE,"RESUMO FINAL";"OMEGA",#N/A,FALSE,"RESUMO FINAL";"S_10",#N/A,FALSE,"RESUMO FINAL";"BLAZER",#N/A,FALSE,"RESUMO FINAL"}</definedName>
    <definedName name="General_Data">#REF!</definedName>
    <definedName name="gfio">#REF!</definedName>
    <definedName name="ggg">#REF!</definedName>
    <definedName name="gh" hidden="1">{#N/A,#N/A,FALSE,"DE-MP 326";#N/A,#N/A,FALSE,"DE-MP 40";#N/A,#N/A,FALSE,"DE-MP 46";#N/A,#N/A,FALSE,"DE-TP 459"}</definedName>
    <definedName name="Gravite">#REF!</definedName>
    <definedName name="H">#REF!</definedName>
    <definedName name="Habillage_de_benne">#REF!</definedName>
    <definedName name="Habillage_de_Coffre">#REF!</definedName>
    <definedName name="Habillage_de_Hayon">#REF!</definedName>
    <definedName name="Habillage_de_Pavillon">#REF!</definedName>
    <definedName name="Habillage_de_Porte_de_coffre__sedan">#REF!</definedName>
    <definedName name="Habillage_de_Portes_battantes_face_AR_1_3_2_3">#REF!</definedName>
    <definedName name="Habillages_latéraux__Harmonies_et_accessoires_dans_coffre">#REF!</definedName>
    <definedName name="Hayon">#REF!</definedName>
    <definedName name="Height_ground">#REF!</definedName>
    <definedName name="Height_Z0">#REF!</definedName>
    <definedName name="i" hidden="1">{#N/A,#N/A,FALSE,"C065 MP 46";#N/A,#N/A,FALSE,"Roulage hebdomadaire";#N/A,#N/A,FALSE,"X57J MP 326";#N/A,#N/A,FALSE,"BAO MP 40";#N/A,#N/A,FALSE,"557 TP 459"}</definedName>
    <definedName name="_xlnm.Print_Titles">#REF!</definedName>
    <definedName name="Impression_FT">#REF!</definedName>
    <definedName name="imprimerUnCompteRendu">[0]!imprimerUnCompteRendu</definedName>
    <definedName name="j" hidden="1">{#N/A,#N/A,FALSE,"DE-MP 326";#N/A,#N/A,FALSE,"DE-MP 40";#N/A,#N/A,FALSE,"DE-MP 46";#N/A,#N/A,FALSE,"DE-TP 459"}</definedName>
    <definedName name="k" hidden="1">{#N/A,#N/A,FALSE,"C065 MP 46";#N/A,#N/A,FALSE,"Roulage hebdomadaire";#N/A,#N/A,FALSE,"X57J MP 326";#N/A,#N/A,FALSE,"BAO MP 40";#N/A,#N/A,FALSE,"557 TP 459"}</definedName>
    <definedName name="kjl" hidden="1">{#N/A,#N/A,FALSE,"C065 MP 46";#N/A,#N/A,FALSE,"Roulage hebdomadaire";#N/A,#N/A,FALSE,"X57J MP 326";#N/A,#N/A,FALSE,"BAO MP 40";#N/A,#N/A,FALSE,"557 TP 459"}</definedName>
    <definedName name="KM">#N/A</definedName>
    <definedName name="kokokoko">#REF!</definedName>
    <definedName name="KPI_SourceSheet">#REF!</definedName>
    <definedName name="Lave_projecteurs">#REF!</definedName>
    <definedName name="Lave_vitre">#REF!</definedName>
    <definedName name="lectureDésignationParRafale">[0]!lectureDésignationParRafale</definedName>
    <definedName name="lecturePrixEtTempsParRafale">[0]!lecturePrixEtTempsParRafale</definedName>
    <definedName name="Lève_Vitres">#REF!</definedName>
    <definedName name="Lien_Tableau">ADDRESS(MATCH(#REF!,#REF!,0)+1,10+#REF!,,,"Tableaux de consos")</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HaibunK">#REF!</definedName>
    <definedName name="List_Y_or_N">#REF!</definedName>
    <definedName name="LISTE">#N/A</definedName>
    <definedName name="Liste_Bat">#REF!</definedName>
    <definedName name="Liste_Dem">#REF!</definedName>
    <definedName name="liste_légende">#REF!</definedName>
    <definedName name="Liste_Tmp_Bat">#REF!</definedName>
    <definedName name="Liste_Tmp_Cabl">#REF!</definedName>
    <definedName name="ListeCaisse">#N/A</definedName>
    <definedName name="listeDéroulantePourColonneAffichable">[0]!listeDéroulantePourColonneAffichable</definedName>
    <definedName name="listeDéroulantePourColonneFicheBilan">[0]!listeDéroulantePourColonneFicheBilan</definedName>
    <definedName name="listeDéroulantePourColonneFicheBilanSheet">[0]!listeDéroulantePourColonneFicheBilanSheet</definedName>
    <definedName name="LITTEL_AF">#REF!</definedName>
    <definedName name="LITTEL_MF">#REF!</definedName>
    <definedName name="Lunette_AR">#REF!</definedName>
    <definedName name="main">#REF!</definedName>
    <definedName name="Marche_pieds">#REF!</definedName>
    <definedName name="Mécanisme_d_abattant">#REF!</definedName>
    <definedName name="Mécanismes_de_capot">#REF!</definedName>
    <definedName name="Mécanismes_de_hayon">#REF!</definedName>
    <definedName name="Mécanismes_de_portes_battantes_AR_1_3_2_3">#REF!</definedName>
    <definedName name="Mécanismes_de_portes_de_coffre__sedan">#REF!</definedName>
    <definedName name="Mécanismes_de_portes_latérales">#REF!</definedName>
    <definedName name="Menu">#N/A</definedName>
    <definedName name="Menu1">#N/A</definedName>
    <definedName name="mi" hidden="1">{"CORSA",#N/A,FALSE,"RESUMO FINAL";"KADETT",#N/A,FALSE,"RESUMO FINAL";"VECTRA",#N/A,FALSE,"RESUMO FINAL";"OMEGA",#N/A,FALSE,"RESUMO FINAL";"S_10",#N/A,FALSE,"RESUMO FINAL";"BLAZER",#N/A,FALSE,"RESUMO FINAL"}</definedName>
    <definedName name="mim" hidden="1">{"CORSA",#N/A,FALSE,"RESUMO FINAL";"KADETT",#N/A,FALSE,"RESUMO FINAL";"VECTRA",#N/A,FALSE,"RESUMO FINAL";"OMEGA",#N/A,FALSE,"RESUMO FINAL";"S_10",#N/A,FALSE,"RESUMO FINAL";"BLAZER",#N/A,FALSE,"RESUMO FINAL"}</definedName>
    <definedName name="miseEnFormeDeLaFeuilleChiffrage">[0]!miseEnFormeDeLaFeuilleChiffrage</definedName>
    <definedName name="mmm">#REF!</definedName>
    <definedName name="ModHerve.RazPénalité">#REF!</definedName>
    <definedName name="MODULE_LIST">#REF!</definedName>
    <definedName name="Module2.承認処理">#REF!</definedName>
    <definedName name="moisdeb">#REF!</definedName>
    <definedName name="Monogrammes__badging_extérieur">#REF!</definedName>
    <definedName name="MOT_Tour">#REF!</definedName>
    <definedName name="moteur">#REF!</definedName>
    <definedName name="Motorisations_Diesel">#REF!</definedName>
    <definedName name="Motorisations_Essence">#REF!</definedName>
    <definedName name="Motorisations_GNC">#REF!</definedName>
    <definedName name="MTA_AF">#REF!</definedName>
    <definedName name="MTA_MF">#REF!</definedName>
    <definedName name="N">#N/A</definedName>
    <definedName name="N__de_chassis">#REF!</definedName>
    <definedName name="NOMO">#REF!</definedName>
    <definedName name="numol">#REF!</definedName>
    <definedName name="numomol">#REF!</definedName>
    <definedName name="Objectives_Ref">#REF!</definedName>
    <definedName name="Outillage">#REF!</definedName>
    <definedName name="P._BAES">#REF!</definedName>
    <definedName name="P._Baès">#REF!</definedName>
    <definedName name="Pack__E0_Plus___anciennement_Pack_Export">#REF!</definedName>
    <definedName name="Pack_confort">#REF!</definedName>
    <definedName name="Pack_GRAND_FROID">#REF!</definedName>
    <definedName name="Pack_professionnel">#REF!</definedName>
    <definedName name="Pack_sécurité">#REF!</definedName>
    <definedName name="Panneaux__de_portes_avant">#REF!</definedName>
    <definedName name="Panneaux_de_portes_arrière">#REF!</definedName>
    <definedName name="Pare_brise">#REF!</definedName>
    <definedName name="Pare_soleil">#REF!</definedName>
    <definedName name="pas">#REF!</definedName>
    <definedName name="paulo" hidden="1">{"CORSA",#N/A,FALSE,"RESUMO FINAL";"KADETT",#N/A,FALSE,"RESUMO FINAL";"VECTRA",#N/A,FALSE,"RESUMO FINAL";"OMEGA",#N/A,FALSE,"RESUMO FINAL";"S_10",#N/A,FALSE,"RESUMO FINAL";"BLAZER",#N/A,FALSE,"RESUMO FINAL"}</definedName>
    <definedName name="Pavillon">#REF!</definedName>
    <definedName name="pays9">#REF!</definedName>
    <definedName name="Peinture">#REF!</definedName>
    <definedName name="Perimeter">#REF!</definedName>
    <definedName name="Ph.0">#REF!</definedName>
    <definedName name="Ph.1">#REF!</definedName>
    <definedName name="Ph.2">#REF!</definedName>
    <definedName name="Ph.3">#REF!</definedName>
    <definedName name="Ph.4a">#REF!</definedName>
    <definedName name="Ph.4b">#REF!</definedName>
    <definedName name="Plafonniers">#REF!</definedName>
    <definedName name="Poignées_de_maintien_de_virage___range_lunettes">#REF!</definedName>
    <definedName name="POLY_R">#REF!</definedName>
    <definedName name="Porte_de_coffre__sedan">#REF!</definedName>
    <definedName name="Portes_AV__tôlerie">#REF!</definedName>
    <definedName name="Portes_face_AR__tôlerie">#REF!</definedName>
    <definedName name="Portes_latérales_AR__tôlerie">#REF!</definedName>
    <definedName name="PostK9b1_Synthèse_composants_Liste">#REF!</definedName>
    <definedName name="PostK9b1_Synth鑚e_composants_Liste">#REF!</definedName>
    <definedName name="ppp">#REF!</definedName>
    <definedName name="Presta10101">#REF!</definedName>
    <definedName name="Presta10102">#REF!</definedName>
    <definedName name="Presta10103">#REF!</definedName>
    <definedName name="Presta10104">#REF!</definedName>
    <definedName name="Presta10105">#REF!</definedName>
    <definedName name="Presta10106">#REF!</definedName>
    <definedName name="Presta10107">#REF!</definedName>
    <definedName name="Presta10108">#REF!</definedName>
    <definedName name="Presta10109">#REF!</definedName>
    <definedName name="Presta10110">#REF!</definedName>
    <definedName name="Presta10111">#REF!</definedName>
    <definedName name="Presta10112">#REF!</definedName>
    <definedName name="Presta10113">#REF!</definedName>
    <definedName name="Presta10114">#REF!</definedName>
    <definedName name="Presta10115">#REF!</definedName>
    <definedName name="Presta10116">#REF!</definedName>
    <definedName name="Presta10201">#REF!</definedName>
    <definedName name="Presta10202">#REF!</definedName>
    <definedName name="Presta10203">#REF!</definedName>
    <definedName name="Presta10204">#REF!</definedName>
    <definedName name="Presta10205">#REF!</definedName>
    <definedName name="Presta10206">#REF!</definedName>
    <definedName name="Presta10207">#REF!</definedName>
    <definedName name="Presta10208">#REF!</definedName>
    <definedName name="Presta10209">#REF!</definedName>
    <definedName name="Presta10210">#REF!</definedName>
    <definedName name="Presta10211">#REF!</definedName>
    <definedName name="Presta10212">#REF!</definedName>
    <definedName name="Presta10213">#REF!</definedName>
    <definedName name="Presta10214">#REF!</definedName>
    <definedName name="Presta10215">#REF!</definedName>
    <definedName name="Presta10216">#REF!</definedName>
    <definedName name="Presta10217">#REF!</definedName>
    <definedName name="Presta10218">#REF!</definedName>
    <definedName name="Presta10219">#REF!</definedName>
    <definedName name="Presta10220">#REF!</definedName>
    <definedName name="Presta10221">#REF!</definedName>
    <definedName name="Presta10222">#REF!</definedName>
    <definedName name="Presta10223">#REF!</definedName>
    <definedName name="Presta10224">#REF!</definedName>
    <definedName name="Presta10225">#REF!</definedName>
    <definedName name="Presta10226">#REF!</definedName>
    <definedName name="Presta10227">#REF!</definedName>
    <definedName name="Presta10301">#REF!</definedName>
    <definedName name="Presta10302">#REF!</definedName>
    <definedName name="Presta10303">#REF!</definedName>
    <definedName name="Presta10304">#REF!</definedName>
    <definedName name="Presta10305">#REF!</definedName>
    <definedName name="Presta10306">#REF!</definedName>
    <definedName name="Presta10307">#REF!</definedName>
    <definedName name="Presta10308">#REF!</definedName>
    <definedName name="Presta10309">#REF!</definedName>
    <definedName name="Presta10310">#REF!</definedName>
    <definedName name="Presta10401">#REF!</definedName>
    <definedName name="Presta10402">#REF!</definedName>
    <definedName name="Presta10403">#REF!</definedName>
    <definedName name="Presta10404">#REF!</definedName>
    <definedName name="Presta10405">#REF!</definedName>
    <definedName name="Presta10406">#REF!</definedName>
    <definedName name="Presta10407">#REF!</definedName>
    <definedName name="Presta10408">#REF!</definedName>
    <definedName name="Presta10409">#REF!</definedName>
    <definedName name="Presta10410">#REF!</definedName>
    <definedName name="Presta10411">#REF!</definedName>
    <definedName name="Presta10412">#REF!</definedName>
    <definedName name="Presta10413">#REF!</definedName>
    <definedName name="Presta10414">#REF!</definedName>
    <definedName name="Presta10415">#REF!</definedName>
    <definedName name="Presta10416">#REF!</definedName>
    <definedName name="Presta10417">#REF!</definedName>
    <definedName name="Presta10418">#REF!</definedName>
    <definedName name="Presta10501">#REF!</definedName>
    <definedName name="Presta10502">#REF!</definedName>
    <definedName name="Presta10503">#REF!</definedName>
    <definedName name="Presta10504">#REF!</definedName>
    <definedName name="Presta10505">#REF!</definedName>
    <definedName name="Presta10506">#REF!</definedName>
    <definedName name="Presta10507">#REF!</definedName>
    <definedName name="Presta10508">#REF!</definedName>
    <definedName name="Presta10509">#REF!</definedName>
    <definedName name="Presta10601">#REF!</definedName>
    <definedName name="Presta10602">#REF!</definedName>
    <definedName name="Presta10603">#REF!</definedName>
    <definedName name="Presta10604">#REF!</definedName>
    <definedName name="Presta10605">#REF!</definedName>
    <definedName name="Presta10606">#REF!</definedName>
    <definedName name="Presta10701">#REF!</definedName>
    <definedName name="Presta10702">#REF!</definedName>
    <definedName name="Presta10703">#REF!</definedName>
    <definedName name="Presta10704">#REF!</definedName>
    <definedName name="Presta10801">#REF!</definedName>
    <definedName name="Presta10802">#REF!</definedName>
    <definedName name="Presta10803">#REF!</definedName>
    <definedName name="Presta10804">#REF!</definedName>
    <definedName name="Presta10805">#REF!</definedName>
    <definedName name="Presta10806">#REF!</definedName>
    <definedName name="Presta10807">#REF!</definedName>
    <definedName name="Presta10808">#REF!</definedName>
    <definedName name="Presta10809">#REF!</definedName>
    <definedName name="Presta10810">#REF!</definedName>
    <definedName name="Presta10811">#REF!</definedName>
    <definedName name="Presta10812">#REF!</definedName>
    <definedName name="Presta10813">#REF!</definedName>
    <definedName name="Presta10901">#REF!</definedName>
    <definedName name="Presta10902">#REF!</definedName>
    <definedName name="Presta20101">#REF!</definedName>
    <definedName name="Presta20102">#REF!</definedName>
    <definedName name="Presta20103">#REF!</definedName>
    <definedName name="Presta20104">#REF!</definedName>
    <definedName name="Presta20105">#REF!</definedName>
    <definedName name="Presta20106">#REF!</definedName>
    <definedName name="Presta20107">#REF!</definedName>
    <definedName name="Presta20201">#REF!</definedName>
    <definedName name="Presta20202">#REF!</definedName>
    <definedName name="Presta20203">#REF!</definedName>
    <definedName name="Presta20204">#REF!</definedName>
    <definedName name="Presta20205">#REF!</definedName>
    <definedName name="Presta20206">#REF!</definedName>
    <definedName name="Presta20207">#REF!</definedName>
    <definedName name="Presta20208">#REF!</definedName>
    <definedName name="Presta20209">#REF!</definedName>
    <definedName name="Presta20210">#REF!</definedName>
    <definedName name="Presta20211">#REF!</definedName>
    <definedName name="Presta20212">#REF!</definedName>
    <definedName name="Presta20213">#REF!</definedName>
    <definedName name="Presta20301">#REF!</definedName>
    <definedName name="Presta20302">#REF!</definedName>
    <definedName name="Presta20303">#REF!</definedName>
    <definedName name="Presta20304">#REF!</definedName>
    <definedName name="Presta20305">#REF!</definedName>
    <definedName name="Presta20306">#REF!</definedName>
    <definedName name="Presta20307">#REF!</definedName>
    <definedName name="Presta20308">#REF!</definedName>
    <definedName name="Presta20309">#REF!</definedName>
    <definedName name="Presta20310">#REF!</definedName>
    <definedName name="Presta20311">#REF!</definedName>
    <definedName name="Presta20312">#REF!</definedName>
    <definedName name="Presta20313">#REF!</definedName>
    <definedName name="Presta20314">#REF!</definedName>
    <definedName name="Presta20315">#REF!</definedName>
    <definedName name="Presta20316">#REF!</definedName>
    <definedName name="Presta20317">#REF!</definedName>
    <definedName name="Presta20318">#REF!</definedName>
    <definedName name="Presta20401">#REF!</definedName>
    <definedName name="Presta20402">#REF!</definedName>
    <definedName name="Presta20403">#REF!</definedName>
    <definedName name="Presta20404">#REF!</definedName>
    <definedName name="Presta20405">#REF!</definedName>
    <definedName name="Presta20406">#REF!</definedName>
    <definedName name="Presta20407">#REF!</definedName>
    <definedName name="Presta20408">#REF!</definedName>
    <definedName name="Presta20501">#REF!</definedName>
    <definedName name="Presta20601">#REF!</definedName>
    <definedName name="Presta20602">#REF!</definedName>
    <definedName name="Presta20603">#REF!</definedName>
    <definedName name="Presta20604">#REF!</definedName>
    <definedName name="Presta20605">#REF!</definedName>
    <definedName name="Presta20606">#REF!</definedName>
    <definedName name="Presta20607">#REF!</definedName>
    <definedName name="Presta20608">#REF!</definedName>
    <definedName name="Presta20609">#REF!</definedName>
    <definedName name="Presta20610">#REF!</definedName>
    <definedName name="Presta20611">#REF!</definedName>
    <definedName name="Presta20612">#REF!</definedName>
    <definedName name="Presta20613">#REF!</definedName>
    <definedName name="Presta20614">#REF!</definedName>
    <definedName name="Presta20615">#REF!</definedName>
    <definedName name="Presta210101">#REF!</definedName>
    <definedName name="Presta210102">#REF!</definedName>
    <definedName name="Presta210103">#REF!</definedName>
    <definedName name="Presta210104">#REF!</definedName>
    <definedName name="Presta210105">#REF!</definedName>
    <definedName name="Presta210106">#REF!</definedName>
    <definedName name="Presta210107">#REF!</definedName>
    <definedName name="Presta210108">#REF!</definedName>
    <definedName name="Presta210109">#REF!</definedName>
    <definedName name="Presta210110">#REF!</definedName>
    <definedName name="Presta210111">#REF!</definedName>
    <definedName name="Presta210112">#REF!</definedName>
    <definedName name="Presta210113">#REF!</definedName>
    <definedName name="Presta210114">#REF!</definedName>
    <definedName name="Presta210115">#REF!</definedName>
    <definedName name="Presta210116">#REF!</definedName>
    <definedName name="Presta210201">#REF!</definedName>
    <definedName name="Presta210202">#REF!</definedName>
    <definedName name="Presta210203">#REF!</definedName>
    <definedName name="Presta210204">#REF!</definedName>
    <definedName name="Presta210205">#REF!</definedName>
    <definedName name="Presta210206">#REF!</definedName>
    <definedName name="Presta210207">#REF!</definedName>
    <definedName name="Presta210208">#REF!</definedName>
    <definedName name="Presta210209">#REF!</definedName>
    <definedName name="Presta210210">#REF!</definedName>
    <definedName name="Presta210211">#REF!</definedName>
    <definedName name="Presta210212">#REF!</definedName>
    <definedName name="Presta210213">#REF!</definedName>
    <definedName name="Presta210214">#REF!</definedName>
    <definedName name="Presta210215">#REF!</definedName>
    <definedName name="Presta210216">#REF!</definedName>
    <definedName name="Presta210217">#REF!</definedName>
    <definedName name="Presta210218">#REF!</definedName>
    <definedName name="Presta210219">#REF!</definedName>
    <definedName name="Presta210220">#REF!</definedName>
    <definedName name="Presta210221">#REF!</definedName>
    <definedName name="Presta210222">#REF!</definedName>
    <definedName name="Presta210223">#REF!</definedName>
    <definedName name="Presta210224">#REF!</definedName>
    <definedName name="Presta210225">#REF!</definedName>
    <definedName name="Presta210226">#REF!</definedName>
    <definedName name="Presta210227">#REF!</definedName>
    <definedName name="Presta210301">#REF!</definedName>
    <definedName name="Presta210302">#REF!</definedName>
    <definedName name="Presta210303">#REF!</definedName>
    <definedName name="Presta210304">#REF!</definedName>
    <definedName name="Presta210305">#REF!</definedName>
    <definedName name="Presta210306">#REF!</definedName>
    <definedName name="Presta210307">#REF!</definedName>
    <definedName name="Presta210308">#REF!</definedName>
    <definedName name="Presta210309">#REF!</definedName>
    <definedName name="Presta210310">#REF!</definedName>
    <definedName name="Presta210401">#REF!</definedName>
    <definedName name="Presta210402">#REF!</definedName>
    <definedName name="Presta210403">#REF!</definedName>
    <definedName name="Presta210404">#REF!</definedName>
    <definedName name="Presta210405">#REF!</definedName>
    <definedName name="Presta210406">#REF!</definedName>
    <definedName name="Presta210407">#REF!</definedName>
    <definedName name="Presta210408">#REF!</definedName>
    <definedName name="Presta210409">#REF!</definedName>
    <definedName name="Presta210410">#REF!</definedName>
    <definedName name="Presta210411">#REF!</definedName>
    <definedName name="Presta210412">#REF!</definedName>
    <definedName name="Presta210413">#REF!</definedName>
    <definedName name="Presta210414">#REF!</definedName>
    <definedName name="Presta210415">#REF!</definedName>
    <definedName name="Presta210416">#REF!</definedName>
    <definedName name="Presta210417">#REF!</definedName>
    <definedName name="Presta210418">#REF!</definedName>
    <definedName name="Presta210501">#REF!</definedName>
    <definedName name="Presta210502">#REF!</definedName>
    <definedName name="Presta210503">#REF!</definedName>
    <definedName name="Presta210504">#REF!</definedName>
    <definedName name="Presta210505">#REF!</definedName>
    <definedName name="Presta210506">#REF!</definedName>
    <definedName name="Presta210507">#REF!</definedName>
    <definedName name="Presta210508">#REF!</definedName>
    <definedName name="Presta210509">#REF!</definedName>
    <definedName name="Presta210601">#REF!</definedName>
    <definedName name="Presta210602">#REF!</definedName>
    <definedName name="Presta210603">#REF!</definedName>
    <definedName name="Presta210604">#REF!</definedName>
    <definedName name="Presta210605">#REF!</definedName>
    <definedName name="Presta210606">#REF!</definedName>
    <definedName name="Presta210701">#REF!</definedName>
    <definedName name="Presta210702">#REF!</definedName>
    <definedName name="Presta210703">#REF!</definedName>
    <definedName name="Presta210704">#REF!</definedName>
    <definedName name="Presta210801">#REF!</definedName>
    <definedName name="Presta210802">#REF!</definedName>
    <definedName name="Presta210803">#REF!</definedName>
    <definedName name="Presta210804">#REF!</definedName>
    <definedName name="Presta210805">#REF!</definedName>
    <definedName name="Presta210806">#REF!</definedName>
    <definedName name="Presta210807">#REF!</definedName>
    <definedName name="Presta210808">#REF!</definedName>
    <definedName name="Presta210809">#REF!</definedName>
    <definedName name="Presta210810">#REF!</definedName>
    <definedName name="Presta210811">#REF!</definedName>
    <definedName name="Presta210812">#REF!</definedName>
    <definedName name="Presta210813">#REF!</definedName>
    <definedName name="Presta210901">#REF!</definedName>
    <definedName name="Presta210902">#REF!</definedName>
    <definedName name="Presta220101">#REF!</definedName>
    <definedName name="Presta220102">#REF!</definedName>
    <definedName name="Presta220103">#REF!</definedName>
    <definedName name="Presta220104">#REF!</definedName>
    <definedName name="Presta220105">#REF!</definedName>
    <definedName name="Presta220106">#REF!</definedName>
    <definedName name="Presta220107">#REF!</definedName>
    <definedName name="Presta220201">#REF!</definedName>
    <definedName name="Presta220202">#REF!</definedName>
    <definedName name="Presta220203">#REF!</definedName>
    <definedName name="Presta220204">#REF!</definedName>
    <definedName name="Presta220205">#REF!</definedName>
    <definedName name="Presta220206">#REF!</definedName>
    <definedName name="Presta220207">#REF!</definedName>
    <definedName name="Presta220208">#REF!</definedName>
    <definedName name="Presta220209">#REF!</definedName>
    <definedName name="Presta220210">#REF!</definedName>
    <definedName name="Presta220211">#REF!</definedName>
    <definedName name="Presta220212">#REF!</definedName>
    <definedName name="Presta220213">#REF!</definedName>
    <definedName name="Presta220301">#REF!</definedName>
    <definedName name="Presta220302">#REF!</definedName>
    <definedName name="Presta220303">#REF!</definedName>
    <definedName name="Presta220304">#REF!</definedName>
    <definedName name="Presta220305">#REF!</definedName>
    <definedName name="Presta220306">#REF!</definedName>
    <definedName name="Presta220307">#REF!</definedName>
    <definedName name="Presta220308">#REF!</definedName>
    <definedName name="Presta220309">#REF!</definedName>
    <definedName name="Presta220310">#REF!</definedName>
    <definedName name="Presta220311">#REF!</definedName>
    <definedName name="Presta220312">#REF!</definedName>
    <definedName name="Presta220313">#REF!</definedName>
    <definedName name="Presta220314">#REF!</definedName>
    <definedName name="Presta220315">#REF!</definedName>
    <definedName name="Presta220316">#REF!</definedName>
    <definedName name="Presta220317">#REF!</definedName>
    <definedName name="Presta220318">#REF!</definedName>
    <definedName name="Presta220401">#REF!</definedName>
    <definedName name="Presta220402">#REF!</definedName>
    <definedName name="Presta220403">#REF!</definedName>
    <definedName name="Presta220404">#REF!</definedName>
    <definedName name="Presta220405">#REF!</definedName>
    <definedName name="Presta220406">#REF!</definedName>
    <definedName name="Presta220407">#REF!</definedName>
    <definedName name="Presta220408">#REF!</definedName>
    <definedName name="Presta220501">#REF!</definedName>
    <definedName name="Presta220601">#REF!</definedName>
    <definedName name="Presta220602">#REF!</definedName>
    <definedName name="Presta220603">#REF!</definedName>
    <definedName name="Presta220604">#REF!</definedName>
    <definedName name="Presta220605">#REF!</definedName>
    <definedName name="Presta220606">#REF!</definedName>
    <definedName name="Presta220607">#REF!</definedName>
    <definedName name="Presta220608">#REF!</definedName>
    <definedName name="Presta220609">#REF!</definedName>
    <definedName name="Presta220610">#REF!</definedName>
    <definedName name="Presta220611">#REF!</definedName>
    <definedName name="Presta220612">#REF!</definedName>
    <definedName name="Presta220613">#REF!</definedName>
    <definedName name="Presta220614">#REF!</definedName>
    <definedName name="Presta220615">#REF!</definedName>
    <definedName name="Presta230001">#REF!</definedName>
    <definedName name="Presta230002">#REF!</definedName>
    <definedName name="Presta230003">#REF!</definedName>
    <definedName name="Presta230004">#REF!</definedName>
    <definedName name="Presta230005">#REF!</definedName>
    <definedName name="Presta230006">#REF!</definedName>
    <definedName name="Presta230101">#REF!</definedName>
    <definedName name="Presta230102">#REF!</definedName>
    <definedName name="Presta230103">#REF!</definedName>
    <definedName name="Presta230104">#REF!</definedName>
    <definedName name="Presta230105">#REF!</definedName>
    <definedName name="Presta230106">#REF!</definedName>
    <definedName name="Presta230107">#REF!</definedName>
    <definedName name="Presta230108">#REF!</definedName>
    <definedName name="Presta230109">#REF!</definedName>
    <definedName name="Presta230110">#REF!</definedName>
    <definedName name="Presta230111">#REF!</definedName>
    <definedName name="Presta230112">#REF!</definedName>
    <definedName name="Presta230201">#REF!</definedName>
    <definedName name="Presta230202">#REF!</definedName>
    <definedName name="Presta230203">#REF!</definedName>
    <definedName name="Presta230204">#REF!</definedName>
    <definedName name="Presta230205">#REF!</definedName>
    <definedName name="Presta230206">#REF!</definedName>
    <definedName name="Presta230301">#REF!</definedName>
    <definedName name="Presta230302">#REF!</definedName>
    <definedName name="Presta230303">#REF!</definedName>
    <definedName name="Presta230304">#REF!</definedName>
    <definedName name="Presta230305">#REF!</definedName>
    <definedName name="Presta240101">#REF!</definedName>
    <definedName name="Presta240102">#REF!</definedName>
    <definedName name="Presta240103">#REF!</definedName>
    <definedName name="Presta240104">#REF!</definedName>
    <definedName name="Presta240105">#REF!</definedName>
    <definedName name="Presta240106">#REF!</definedName>
    <definedName name="Presta240107">#REF!</definedName>
    <definedName name="Presta240108">#REF!</definedName>
    <definedName name="Presta240109">#REF!</definedName>
    <definedName name="Presta240110">#REF!</definedName>
    <definedName name="Presta240111">#REF!</definedName>
    <definedName name="Presta240112">#REF!</definedName>
    <definedName name="Presta240113">#REF!</definedName>
    <definedName name="Presta240114">#REF!</definedName>
    <definedName name="Presta240115">#REF!</definedName>
    <definedName name="Presta240116">#REF!</definedName>
    <definedName name="Presta240117">#REF!</definedName>
    <definedName name="Presta240201">#REF!</definedName>
    <definedName name="Presta240202">#REF!</definedName>
    <definedName name="Presta240203">#REF!</definedName>
    <definedName name="Presta240204">#REF!</definedName>
    <definedName name="Presta240205">#REF!</definedName>
    <definedName name="Presta240206">#REF!</definedName>
    <definedName name="Presta240207">#REF!</definedName>
    <definedName name="Presta240208">#REF!</definedName>
    <definedName name="Presta240209">#REF!</definedName>
    <definedName name="Presta240210">#REF!</definedName>
    <definedName name="Presta240211">#REF!</definedName>
    <definedName name="Presta240301">#REF!</definedName>
    <definedName name="Presta240302">#REF!</definedName>
    <definedName name="Presta240303">#REF!</definedName>
    <definedName name="Presta240304">#REF!</definedName>
    <definedName name="Presta240305">#REF!</definedName>
    <definedName name="Presta240401">#REF!</definedName>
    <definedName name="Presta240402">#REF!</definedName>
    <definedName name="Presta240403">#REF!</definedName>
    <definedName name="Presta240404">#REF!</definedName>
    <definedName name="Presta240405">#REF!</definedName>
    <definedName name="Presta240406">#REF!</definedName>
    <definedName name="Presta240407">#REF!</definedName>
    <definedName name="Presta240408">#REF!</definedName>
    <definedName name="Presta240409">#REF!</definedName>
    <definedName name="Presta240410">#REF!</definedName>
    <definedName name="Presta240411">#REF!</definedName>
    <definedName name="Presta240412">#REF!</definedName>
    <definedName name="Presta240413">#REF!</definedName>
    <definedName name="Presta240414">#REF!</definedName>
    <definedName name="Presta240415">#REF!</definedName>
    <definedName name="Presta240501">#REF!</definedName>
    <definedName name="Presta240502">#REF!</definedName>
    <definedName name="Presta240503">#REF!</definedName>
    <definedName name="Presta240504">#REF!</definedName>
    <definedName name="Presta240505">#REF!</definedName>
    <definedName name="Presta240506">#REF!</definedName>
    <definedName name="Presta250101">#REF!</definedName>
    <definedName name="Presta250102">#REF!</definedName>
    <definedName name="Presta250103">#REF!</definedName>
    <definedName name="Presta250104">#REF!</definedName>
    <definedName name="Presta250105">#REF!</definedName>
    <definedName name="Presta250106">#REF!</definedName>
    <definedName name="Presta250107">#REF!</definedName>
    <definedName name="Presta250108">#REF!</definedName>
    <definedName name="Presta250109">#REF!</definedName>
    <definedName name="Presta250110">#REF!</definedName>
    <definedName name="Presta250111">#REF!</definedName>
    <definedName name="Presta250112">#REF!</definedName>
    <definedName name="Presta250113">#REF!</definedName>
    <definedName name="Presta250201">#REF!</definedName>
    <definedName name="Presta250202">#REF!</definedName>
    <definedName name="Presta250203">#REF!</definedName>
    <definedName name="Presta250204">#REF!</definedName>
    <definedName name="Presta250205">#REF!</definedName>
    <definedName name="Presta250206">#REF!</definedName>
    <definedName name="Presta250207">#REF!</definedName>
    <definedName name="Presta250208">#REF!</definedName>
    <definedName name="Presta250209">#REF!</definedName>
    <definedName name="Presta250210">#REF!</definedName>
    <definedName name="Presta250211">#REF!</definedName>
    <definedName name="Presta250301">#REF!</definedName>
    <definedName name="Presta250302">#REF!</definedName>
    <definedName name="Presta250303">#REF!</definedName>
    <definedName name="Presta250304">#REF!</definedName>
    <definedName name="Presta250305">#REF!</definedName>
    <definedName name="Presta250306">#REF!</definedName>
    <definedName name="Presta250401">#REF!</definedName>
    <definedName name="Presta250402">#REF!</definedName>
    <definedName name="Presta260101">#REF!</definedName>
    <definedName name="Presta260102">#REF!</definedName>
    <definedName name="Presta260103">#REF!</definedName>
    <definedName name="Presta260104">#REF!</definedName>
    <definedName name="Presta260105">#REF!</definedName>
    <definedName name="Presta260106">#REF!</definedName>
    <definedName name="Presta260107">#REF!</definedName>
    <definedName name="Presta260108">#REF!</definedName>
    <definedName name="Presta260109">#REF!</definedName>
    <definedName name="Presta260110">#REF!</definedName>
    <definedName name="Presta260111">#REF!</definedName>
    <definedName name="Presta260112">#REF!</definedName>
    <definedName name="Presta260113">#REF!</definedName>
    <definedName name="Presta260114">#REF!</definedName>
    <definedName name="Presta260115">#REF!</definedName>
    <definedName name="Presta260116">#REF!</definedName>
    <definedName name="Presta260117">#REF!</definedName>
    <definedName name="Presta260118">#REF!</definedName>
    <definedName name="Presta260119">#REF!</definedName>
    <definedName name="Presta260120">#REF!</definedName>
    <definedName name="Presta260121">#REF!</definedName>
    <definedName name="Presta260122">#REF!</definedName>
    <definedName name="Presta260123">#REF!</definedName>
    <definedName name="Presta260124">#REF!</definedName>
    <definedName name="Presta260201">#REF!</definedName>
    <definedName name="Presta260202">#REF!</definedName>
    <definedName name="Presta260203">#REF!</definedName>
    <definedName name="Presta260204">#REF!</definedName>
    <definedName name="Presta260301">#REF!</definedName>
    <definedName name="Presta260302">#REF!</definedName>
    <definedName name="Presta260303">#REF!</definedName>
    <definedName name="Presta260304">#REF!</definedName>
    <definedName name="Presta260305">#REF!</definedName>
    <definedName name="Presta260306">#REF!</definedName>
    <definedName name="Presta260307">#REF!</definedName>
    <definedName name="Presta260308">#REF!</definedName>
    <definedName name="Presta260309">#REF!</definedName>
    <definedName name="Presta260310">#REF!</definedName>
    <definedName name="Presta260311">#REF!</definedName>
    <definedName name="Presta260312">#REF!</definedName>
    <definedName name="Presta260313">#REF!</definedName>
    <definedName name="Presta260314">#REF!</definedName>
    <definedName name="Presta260315">#REF!</definedName>
    <definedName name="Presta260316">#REF!</definedName>
    <definedName name="Presta260317">#REF!</definedName>
    <definedName name="Presta260318">#REF!</definedName>
    <definedName name="Presta260401">#REF!</definedName>
    <definedName name="Presta260402">#REF!</definedName>
    <definedName name="Presta260403">#REF!</definedName>
    <definedName name="Presta260404">#REF!</definedName>
    <definedName name="Presta260405">#REF!</definedName>
    <definedName name="Presta260406">#REF!</definedName>
    <definedName name="Presta260407">#REF!</definedName>
    <definedName name="Presta260408">#REF!</definedName>
    <definedName name="Presta260409">#REF!</definedName>
    <definedName name="Presta260410">#REF!</definedName>
    <definedName name="Presta260501">#REF!</definedName>
    <definedName name="Presta260502">#REF!</definedName>
    <definedName name="Presta260503">#REF!</definedName>
    <definedName name="Presta260504">#REF!</definedName>
    <definedName name="Presta260505">#REF!</definedName>
    <definedName name="Presta260601">#REF!</definedName>
    <definedName name="Presta260602">#REF!</definedName>
    <definedName name="Presta260603">#REF!</definedName>
    <definedName name="Presta260604">#REF!</definedName>
    <definedName name="Presta260605">#REF!</definedName>
    <definedName name="Presta260606">#REF!</definedName>
    <definedName name="Presta260607">#REF!</definedName>
    <definedName name="Presta260701">#REF!</definedName>
    <definedName name="Presta260702">#REF!</definedName>
    <definedName name="Presta260703">#REF!</definedName>
    <definedName name="Presta260704">#REF!</definedName>
    <definedName name="Presta260705">#REF!</definedName>
    <definedName name="Presta260706">#REF!</definedName>
    <definedName name="Presta260707">#REF!</definedName>
    <definedName name="Presta260801">#REF!</definedName>
    <definedName name="Presta260802">#REF!</definedName>
    <definedName name="Presta260901">#REF!</definedName>
    <definedName name="Presta260902">#REF!</definedName>
    <definedName name="Presta260903">#REF!</definedName>
    <definedName name="Presta260904">#REF!</definedName>
    <definedName name="Presta260905">#REF!</definedName>
    <definedName name="Presta260906">#REF!</definedName>
    <definedName name="Presta260907">#REF!</definedName>
    <definedName name="Presta260908">#REF!</definedName>
    <definedName name="Presta260909">#REF!</definedName>
    <definedName name="Presta260910">#REF!</definedName>
    <definedName name="Presta260911">#REF!</definedName>
    <definedName name="Presta270101">#REF!</definedName>
    <definedName name="Presta270102">#REF!</definedName>
    <definedName name="Presta270103">#REF!</definedName>
    <definedName name="Presta270104">#REF!</definedName>
    <definedName name="Presta270105">#REF!</definedName>
    <definedName name="Presta270106">#REF!</definedName>
    <definedName name="Presta270107">#REF!</definedName>
    <definedName name="Presta270108">#REF!</definedName>
    <definedName name="Presta270109">#REF!</definedName>
    <definedName name="Presta270110">#REF!</definedName>
    <definedName name="Presta270111">#REF!</definedName>
    <definedName name="Presta270112">#REF!</definedName>
    <definedName name="Presta270113">#REF!</definedName>
    <definedName name="Presta270114">#REF!</definedName>
    <definedName name="Presta270115">#REF!</definedName>
    <definedName name="Presta270116">#REF!</definedName>
    <definedName name="Presta270117">#REF!</definedName>
    <definedName name="Presta270201">#REF!</definedName>
    <definedName name="Presta270202">#REF!</definedName>
    <definedName name="Presta270203">#REF!</definedName>
    <definedName name="Presta270204">#REF!</definedName>
    <definedName name="Presta270205">#REF!</definedName>
    <definedName name="Presta270206">#REF!</definedName>
    <definedName name="Presta270207">#REF!</definedName>
    <definedName name="Presta270208">#REF!</definedName>
    <definedName name="Presta270209">#REF!</definedName>
    <definedName name="Presta270210">#REF!</definedName>
    <definedName name="Presta270211">#REF!</definedName>
    <definedName name="Presta270212">#REF!</definedName>
    <definedName name="Presta270213">#REF!</definedName>
    <definedName name="Presta270214">#REF!</definedName>
    <definedName name="Presta270215">#REF!</definedName>
    <definedName name="Presta270216">#REF!</definedName>
    <definedName name="Presta270217">#REF!</definedName>
    <definedName name="Presta270218">#REF!</definedName>
    <definedName name="Presta270219">#REF!</definedName>
    <definedName name="Presta270220">#REF!</definedName>
    <definedName name="Presta270221">#REF!</definedName>
    <definedName name="Presta270222">#REF!</definedName>
    <definedName name="Presta270223">#REF!</definedName>
    <definedName name="Presta270301">#REF!</definedName>
    <definedName name="Presta270302">#REF!</definedName>
    <definedName name="Presta270303">#REF!</definedName>
    <definedName name="Presta270304">#REF!</definedName>
    <definedName name="Presta270305">#REF!</definedName>
    <definedName name="Presta270401">#REF!</definedName>
    <definedName name="Presta270402">#REF!</definedName>
    <definedName name="Presta270403">#REF!</definedName>
    <definedName name="Presta270404">#REF!</definedName>
    <definedName name="Presta270405">#REF!</definedName>
    <definedName name="Presta270406">#REF!</definedName>
    <definedName name="Presta270407">#REF!</definedName>
    <definedName name="Presta270408">#REF!</definedName>
    <definedName name="Presta270409">#REF!</definedName>
    <definedName name="Presta270410">#REF!</definedName>
    <definedName name="Presta270411">#REF!</definedName>
    <definedName name="Presta270501">#REF!</definedName>
    <definedName name="Presta270502">#REF!</definedName>
    <definedName name="Presta270503">#REF!</definedName>
    <definedName name="Presta270504">#REF!</definedName>
    <definedName name="Presta270505">#REF!</definedName>
    <definedName name="Presta270601">#REF!</definedName>
    <definedName name="Presta270602">#REF!</definedName>
    <definedName name="Presta270603">#REF!</definedName>
    <definedName name="Presta270604">#REF!</definedName>
    <definedName name="Presta270605">#REF!</definedName>
    <definedName name="Presta270606">#REF!</definedName>
    <definedName name="Presta270607">#REF!</definedName>
    <definedName name="Presta270608">#REF!</definedName>
    <definedName name="Presta270609">#REF!</definedName>
    <definedName name="Presta270610">#REF!</definedName>
    <definedName name="Presta280101">#REF!</definedName>
    <definedName name="Presta280102">#REF!</definedName>
    <definedName name="Presta280103">#REF!</definedName>
    <definedName name="Presta280104">#REF!</definedName>
    <definedName name="Presta280105">#REF!</definedName>
    <definedName name="Presta280106">#REF!</definedName>
    <definedName name="Presta280107">#REF!</definedName>
    <definedName name="Presta280108">#REF!</definedName>
    <definedName name="Presta280109">#REF!</definedName>
    <definedName name="Presta280110">#REF!</definedName>
    <definedName name="Presta280201">#REF!</definedName>
    <definedName name="Presta280202">#REF!</definedName>
    <definedName name="Presta280203">#REF!</definedName>
    <definedName name="Presta280204">#REF!</definedName>
    <definedName name="Presta280205">#REF!</definedName>
    <definedName name="Presta280301">#REF!</definedName>
    <definedName name="Presta280302">#REF!</definedName>
    <definedName name="Presta280303">#REF!</definedName>
    <definedName name="Presta280401">#REF!</definedName>
    <definedName name="Presta280402">#REF!</definedName>
    <definedName name="Presta280403">#REF!</definedName>
    <definedName name="Presta280404">#REF!</definedName>
    <definedName name="Presta280405">#REF!</definedName>
    <definedName name="Presta290101">#REF!</definedName>
    <definedName name="Presta290102">#REF!</definedName>
    <definedName name="Presta290103">#REF!</definedName>
    <definedName name="Presta290104">#REF!</definedName>
    <definedName name="Presta290105">#REF!</definedName>
    <definedName name="Presta290106">#REF!</definedName>
    <definedName name="Presta290107">#REF!</definedName>
    <definedName name="Presta290108">#REF!</definedName>
    <definedName name="Presta290109">#REF!</definedName>
    <definedName name="Presta290110">#REF!</definedName>
    <definedName name="Presta290111">#REF!</definedName>
    <definedName name="Presta290112">#REF!</definedName>
    <definedName name="Presta290113">#REF!</definedName>
    <definedName name="Presta290114">#REF!</definedName>
    <definedName name="Presta290201">#REF!</definedName>
    <definedName name="Presta290202">#REF!</definedName>
    <definedName name="Presta290203">#REF!</definedName>
    <definedName name="Presta290204">#REF!</definedName>
    <definedName name="Presta290205">#REF!</definedName>
    <definedName name="Presta290206">#REF!</definedName>
    <definedName name="Presta290207">#REF!</definedName>
    <definedName name="Presta290208">#REF!</definedName>
    <definedName name="Presta290209">#REF!</definedName>
    <definedName name="Presta290210">#REF!</definedName>
    <definedName name="Presta290211">#REF!</definedName>
    <definedName name="Presta290301">#REF!</definedName>
    <definedName name="Presta290302">#REF!</definedName>
    <definedName name="Presta290303">#REF!</definedName>
    <definedName name="Presta290304">#REF!</definedName>
    <definedName name="Presta290305">#REF!</definedName>
    <definedName name="Presta290306">#REF!</definedName>
    <definedName name="Presta290307">#REF!</definedName>
    <definedName name="Presta290308">#REF!</definedName>
    <definedName name="Presta290309">#REF!</definedName>
    <definedName name="Presta290310">#REF!</definedName>
    <definedName name="Presta290401">#REF!</definedName>
    <definedName name="Presta290402">#REF!</definedName>
    <definedName name="Presta290501">#REF!</definedName>
    <definedName name="Presta290502">#REF!</definedName>
    <definedName name="Presta290503">#REF!</definedName>
    <definedName name="Presta290504">#REF!</definedName>
    <definedName name="Presta30001">#REF!</definedName>
    <definedName name="Presta30002">#REF!</definedName>
    <definedName name="Presta30003">#REF!</definedName>
    <definedName name="Presta30004">#REF!</definedName>
    <definedName name="Presta30005">#REF!</definedName>
    <definedName name="Presta30006">#REF!</definedName>
    <definedName name="Presta30101">#REF!</definedName>
    <definedName name="Presta30102">#REF!</definedName>
    <definedName name="Presta30103">#REF!</definedName>
    <definedName name="Presta30104">#REF!</definedName>
    <definedName name="Presta30105">#REF!</definedName>
    <definedName name="Presta30106">#REF!</definedName>
    <definedName name="Presta30107">#REF!</definedName>
    <definedName name="Presta30108">#REF!</definedName>
    <definedName name="Presta30109">#REF!</definedName>
    <definedName name="Presta30110">#REF!</definedName>
    <definedName name="Presta30111">#REF!</definedName>
    <definedName name="Presta30112">#REF!</definedName>
    <definedName name="Presta30201">#REF!</definedName>
    <definedName name="Presta30202">#REF!</definedName>
    <definedName name="Presta30203">#REF!</definedName>
    <definedName name="Presta30204">#REF!</definedName>
    <definedName name="Presta30205">#REF!</definedName>
    <definedName name="Presta30206">#REF!</definedName>
    <definedName name="Presta30301">#REF!</definedName>
    <definedName name="Presta30302">#REF!</definedName>
    <definedName name="Presta30303">#REF!</definedName>
    <definedName name="Presta30304">#REF!</definedName>
    <definedName name="Presta30305">#REF!</definedName>
    <definedName name="Presta40101">#REF!</definedName>
    <definedName name="Presta40102">#REF!</definedName>
    <definedName name="Presta40103">#REF!</definedName>
    <definedName name="Presta40104">#REF!</definedName>
    <definedName name="Presta40105">#REF!</definedName>
    <definedName name="Presta40106">#REF!</definedName>
    <definedName name="Presta40107">#REF!</definedName>
    <definedName name="Presta40108">#REF!</definedName>
    <definedName name="Presta40109">#REF!</definedName>
    <definedName name="Presta40110">#REF!</definedName>
    <definedName name="Presta40111">#REF!</definedName>
    <definedName name="Presta40112">#REF!</definedName>
    <definedName name="Presta40113">#REF!</definedName>
    <definedName name="Presta40114">#REF!</definedName>
    <definedName name="Presta40115">#REF!</definedName>
    <definedName name="Presta40116">#REF!</definedName>
    <definedName name="Presta40117">#REF!</definedName>
    <definedName name="Presta40201">#REF!</definedName>
    <definedName name="Presta40202">#REF!</definedName>
    <definedName name="Presta40203">#REF!</definedName>
    <definedName name="Presta40204">#REF!</definedName>
    <definedName name="Presta40205">#REF!</definedName>
    <definedName name="Presta40206">#REF!</definedName>
    <definedName name="Presta40207">#REF!</definedName>
    <definedName name="Presta40208">#REF!</definedName>
    <definedName name="Presta40209">#REF!</definedName>
    <definedName name="Presta40210">#REF!</definedName>
    <definedName name="Presta40211">#REF!</definedName>
    <definedName name="Presta40301">#REF!</definedName>
    <definedName name="Presta40302">#REF!</definedName>
    <definedName name="Presta40303">#REF!</definedName>
    <definedName name="Presta40304">#REF!</definedName>
    <definedName name="Presta40305">#REF!</definedName>
    <definedName name="Presta40401">#REF!</definedName>
    <definedName name="Presta40402">#REF!</definedName>
    <definedName name="Presta40403">#REF!</definedName>
    <definedName name="Presta40404">#REF!</definedName>
    <definedName name="Presta40405">#REF!</definedName>
    <definedName name="Presta40406">#REF!</definedName>
    <definedName name="Presta40407">#REF!</definedName>
    <definedName name="Presta40408">#REF!</definedName>
    <definedName name="Presta40409">#REF!</definedName>
    <definedName name="Presta40410">#REF!</definedName>
    <definedName name="Presta40411">#REF!</definedName>
    <definedName name="Presta40412">#REF!</definedName>
    <definedName name="Presta40413">#REF!</definedName>
    <definedName name="Presta40414">#REF!</definedName>
    <definedName name="Presta40415">#REF!</definedName>
    <definedName name="Presta40501">#REF!</definedName>
    <definedName name="Presta40502">#REF!</definedName>
    <definedName name="Presta40503">#REF!</definedName>
    <definedName name="Presta40504">#REF!</definedName>
    <definedName name="Presta40505">#REF!</definedName>
    <definedName name="Presta40506">#REF!</definedName>
    <definedName name="Presta50101">#REF!</definedName>
    <definedName name="Presta50102">#REF!</definedName>
    <definedName name="Presta50103">#REF!</definedName>
    <definedName name="Presta50104">#REF!</definedName>
    <definedName name="Presta50105">#REF!</definedName>
    <definedName name="Presta50106">#REF!</definedName>
    <definedName name="Presta50107">#REF!</definedName>
    <definedName name="Presta50108">#REF!</definedName>
    <definedName name="Presta50109">#REF!</definedName>
    <definedName name="Presta50110">#REF!</definedName>
    <definedName name="Presta50111">#REF!</definedName>
    <definedName name="Presta50112">#REF!</definedName>
    <definedName name="Presta50113">#REF!</definedName>
    <definedName name="Presta50201">#REF!</definedName>
    <definedName name="Presta50202">#REF!</definedName>
    <definedName name="Presta50203">#REF!</definedName>
    <definedName name="Presta50204">#REF!</definedName>
    <definedName name="Presta50205">#REF!</definedName>
    <definedName name="Presta50206">#REF!</definedName>
    <definedName name="Presta50207">#REF!</definedName>
    <definedName name="Presta50208">#REF!</definedName>
    <definedName name="Presta50209">#REF!</definedName>
    <definedName name="Presta50210">#REF!</definedName>
    <definedName name="Presta50211">#REF!</definedName>
    <definedName name="Presta50301">#REF!</definedName>
    <definedName name="Presta50302">#REF!</definedName>
    <definedName name="Presta50303">#REF!</definedName>
    <definedName name="Presta50304">#REF!</definedName>
    <definedName name="Presta50305">#REF!</definedName>
    <definedName name="Presta50306">#REF!</definedName>
    <definedName name="Presta50401">#REF!</definedName>
    <definedName name="Presta50402">#REF!</definedName>
    <definedName name="Presta60101">#REF!</definedName>
    <definedName name="Presta60102">#REF!</definedName>
    <definedName name="Presta60103">#REF!</definedName>
    <definedName name="Presta60104">#REF!</definedName>
    <definedName name="Presta60105">#REF!</definedName>
    <definedName name="Presta60106">#REF!</definedName>
    <definedName name="Presta60107">#REF!</definedName>
    <definedName name="Presta60108">#REF!</definedName>
    <definedName name="Presta60109">#REF!</definedName>
    <definedName name="Presta60110">#REF!</definedName>
    <definedName name="Presta60111">#REF!</definedName>
    <definedName name="Presta60112">#REF!</definedName>
    <definedName name="Presta60113">#REF!</definedName>
    <definedName name="Presta60114">#REF!</definedName>
    <definedName name="Presta60115">#REF!</definedName>
    <definedName name="Presta60116">#REF!</definedName>
    <definedName name="Presta60117">#REF!</definedName>
    <definedName name="Presta60118">#REF!</definedName>
    <definedName name="Presta60119">#REF!</definedName>
    <definedName name="Presta60120">#REF!</definedName>
    <definedName name="Presta60121">#REF!</definedName>
    <definedName name="Presta60122">#REF!</definedName>
    <definedName name="Presta60123">#REF!</definedName>
    <definedName name="Presta60124">#REF!</definedName>
    <definedName name="Presta60201">#REF!</definedName>
    <definedName name="Presta60202">#REF!</definedName>
    <definedName name="Presta60203">#REF!</definedName>
    <definedName name="Presta60204">#REF!</definedName>
    <definedName name="Presta60301">#REF!</definedName>
    <definedName name="Presta60302">#REF!</definedName>
    <definedName name="Presta60303">#REF!</definedName>
    <definedName name="Presta60304">#REF!</definedName>
    <definedName name="Presta60305">#REF!</definedName>
    <definedName name="Presta60306">#REF!</definedName>
    <definedName name="Presta60307">#REF!</definedName>
    <definedName name="Presta60308">#REF!</definedName>
    <definedName name="Presta60309">#REF!</definedName>
    <definedName name="Presta60310">#REF!</definedName>
    <definedName name="Presta60311">#REF!</definedName>
    <definedName name="Presta60312">#REF!</definedName>
    <definedName name="Presta60313">#REF!</definedName>
    <definedName name="Presta60314">#REF!</definedName>
    <definedName name="Presta60315">#REF!</definedName>
    <definedName name="Presta60316">#REF!</definedName>
    <definedName name="Presta60317">#REF!</definedName>
    <definedName name="Presta60318">#REF!</definedName>
    <definedName name="Presta60401">#REF!</definedName>
    <definedName name="Presta60402">#REF!</definedName>
    <definedName name="Presta60403">#REF!</definedName>
    <definedName name="Presta60404">#REF!</definedName>
    <definedName name="Presta60405">#REF!</definedName>
    <definedName name="Presta60406">#REF!</definedName>
    <definedName name="Presta60407">#REF!</definedName>
    <definedName name="Presta60408">#REF!</definedName>
    <definedName name="Presta60409">#REF!</definedName>
    <definedName name="Presta60410">#REF!</definedName>
    <definedName name="Presta60501">#REF!</definedName>
    <definedName name="Presta60502">#REF!</definedName>
    <definedName name="Presta60503">#REF!</definedName>
    <definedName name="Presta60504">#REF!</definedName>
    <definedName name="Presta60505">#REF!</definedName>
    <definedName name="Presta60601">#REF!</definedName>
    <definedName name="Presta60602">#REF!</definedName>
    <definedName name="Presta60603">#REF!</definedName>
    <definedName name="Presta60604">#REF!</definedName>
    <definedName name="Presta60605">#REF!</definedName>
    <definedName name="Presta60606">#REF!</definedName>
    <definedName name="Presta60607">#REF!</definedName>
    <definedName name="Presta60701">#REF!</definedName>
    <definedName name="Presta60702">#REF!</definedName>
    <definedName name="Presta60703">#REF!</definedName>
    <definedName name="Presta60704">#REF!</definedName>
    <definedName name="Presta60705">#REF!</definedName>
    <definedName name="Presta60706">#REF!</definedName>
    <definedName name="Presta60707">#REF!</definedName>
    <definedName name="Presta60801">#REF!</definedName>
    <definedName name="Presta60802">#REF!</definedName>
    <definedName name="Presta60901">#REF!</definedName>
    <definedName name="Presta60902">#REF!</definedName>
    <definedName name="Presta60903">#REF!</definedName>
    <definedName name="Presta60904">#REF!</definedName>
    <definedName name="Presta60905">#REF!</definedName>
    <definedName name="Presta60906">#REF!</definedName>
    <definedName name="Presta60907">#REF!</definedName>
    <definedName name="Presta60908">#REF!</definedName>
    <definedName name="Presta60909">#REF!</definedName>
    <definedName name="Presta60910">#REF!</definedName>
    <definedName name="Presta60911">#REF!</definedName>
    <definedName name="Presta70101">#REF!</definedName>
    <definedName name="Presta70102">#REF!</definedName>
    <definedName name="Presta70103">#REF!</definedName>
    <definedName name="Presta70104">#REF!</definedName>
    <definedName name="Presta70105">#REF!</definedName>
    <definedName name="Presta70106">#REF!</definedName>
    <definedName name="Presta70107">#REF!</definedName>
    <definedName name="Presta70108">#REF!</definedName>
    <definedName name="Presta70109">#REF!</definedName>
    <definedName name="Presta70110">#REF!</definedName>
    <definedName name="Presta70111">#REF!</definedName>
    <definedName name="Presta70112">#REF!</definedName>
    <definedName name="Presta70113">#REF!</definedName>
    <definedName name="Presta70114">#REF!</definedName>
    <definedName name="Presta70115">#REF!</definedName>
    <definedName name="Presta70116">#REF!</definedName>
    <definedName name="Presta70117">#REF!</definedName>
    <definedName name="Presta70201">#REF!</definedName>
    <definedName name="Presta70202">#REF!</definedName>
    <definedName name="Presta70203">#REF!</definedName>
    <definedName name="Presta70204">#REF!</definedName>
    <definedName name="Presta70205">#REF!</definedName>
    <definedName name="Presta70206">#REF!</definedName>
    <definedName name="Presta70207">#REF!</definedName>
    <definedName name="Presta70208">#REF!</definedName>
    <definedName name="Presta70209">#REF!</definedName>
    <definedName name="Presta70210">#REF!</definedName>
    <definedName name="Presta70211">#REF!</definedName>
    <definedName name="Presta70212">#REF!</definedName>
    <definedName name="Presta70213">#REF!</definedName>
    <definedName name="Presta70214">#REF!</definedName>
    <definedName name="Presta70215">#REF!</definedName>
    <definedName name="Presta70216">#REF!</definedName>
    <definedName name="Presta70217">#REF!</definedName>
    <definedName name="Presta70218">#REF!</definedName>
    <definedName name="Presta70219">#REF!</definedName>
    <definedName name="Presta70220">#REF!</definedName>
    <definedName name="Presta70221">#REF!</definedName>
    <definedName name="Presta70222">#REF!</definedName>
    <definedName name="Presta70223">#REF!</definedName>
    <definedName name="Presta70301">#REF!</definedName>
    <definedName name="Presta70302">#REF!</definedName>
    <definedName name="Presta70303">#REF!</definedName>
    <definedName name="Presta70304">#REF!</definedName>
    <definedName name="Presta70305">#REF!</definedName>
    <definedName name="Presta70401">#REF!</definedName>
    <definedName name="Presta70402">#REF!</definedName>
    <definedName name="Presta70403">#REF!</definedName>
    <definedName name="Presta70404">#REF!</definedName>
    <definedName name="Presta70405">#REF!</definedName>
    <definedName name="Presta70406">#REF!</definedName>
    <definedName name="Presta70407">#REF!</definedName>
    <definedName name="Presta70408">#REF!</definedName>
    <definedName name="Presta70409">#REF!</definedName>
    <definedName name="Presta70410">#REF!</definedName>
    <definedName name="Presta70411">#REF!</definedName>
    <definedName name="Presta70501">#REF!</definedName>
    <definedName name="Presta70502">#REF!</definedName>
    <definedName name="Presta70503">#REF!</definedName>
    <definedName name="Presta70504">#REF!</definedName>
    <definedName name="Presta70505">#REF!</definedName>
    <definedName name="Presta70601">#REF!</definedName>
    <definedName name="Presta70602">#REF!</definedName>
    <definedName name="Presta70603">#REF!</definedName>
    <definedName name="Presta70604">#REF!</definedName>
    <definedName name="Presta70605">#REF!</definedName>
    <definedName name="Presta70606">#REF!</definedName>
    <definedName name="Presta70607">#REF!</definedName>
    <definedName name="Presta70608">#REF!</definedName>
    <definedName name="Presta70609">#REF!</definedName>
    <definedName name="Presta70610">#REF!</definedName>
    <definedName name="Presta80101">#REF!</definedName>
    <definedName name="Presta80102">#REF!</definedName>
    <definedName name="Presta80103">#REF!</definedName>
    <definedName name="Presta80104">#REF!</definedName>
    <definedName name="Presta80105">#REF!</definedName>
    <definedName name="Presta80106">#REF!</definedName>
    <definedName name="Presta80107">#REF!</definedName>
    <definedName name="Presta80108">#REF!</definedName>
    <definedName name="Presta80109">#REF!</definedName>
    <definedName name="Presta80110">#REF!</definedName>
    <definedName name="Presta80201">#REF!</definedName>
    <definedName name="Presta80202">#REF!</definedName>
    <definedName name="Presta80203">#REF!</definedName>
    <definedName name="Presta80204">#REF!</definedName>
    <definedName name="Presta80205">#REF!</definedName>
    <definedName name="Presta80301">#REF!</definedName>
    <definedName name="Presta80302">#REF!</definedName>
    <definedName name="Presta80303">#REF!</definedName>
    <definedName name="Presta80401">#REF!</definedName>
    <definedName name="Presta80402">#REF!</definedName>
    <definedName name="Presta80403">#REF!</definedName>
    <definedName name="Presta80404">#REF!</definedName>
    <definedName name="Presta80405">#REF!</definedName>
    <definedName name="Presta90101">#REF!</definedName>
    <definedName name="Presta90102">#REF!</definedName>
    <definedName name="Presta90103">#REF!</definedName>
    <definedName name="Presta90104">#REF!</definedName>
    <definedName name="Presta90105">#REF!</definedName>
    <definedName name="Presta90106">#REF!</definedName>
    <definedName name="Presta90107">#REF!</definedName>
    <definedName name="Presta90108">#REF!</definedName>
    <definedName name="Presta90109">#REF!</definedName>
    <definedName name="Presta90110">#REF!</definedName>
    <definedName name="Presta90111">#REF!</definedName>
    <definedName name="Presta90112">#REF!</definedName>
    <definedName name="Presta90113">#REF!</definedName>
    <definedName name="Presta90114">#REF!</definedName>
    <definedName name="Presta90201">#REF!</definedName>
    <definedName name="Presta90202">#REF!</definedName>
    <definedName name="Presta90203">#REF!</definedName>
    <definedName name="Presta90204">#REF!</definedName>
    <definedName name="Presta90205">#REF!</definedName>
    <definedName name="Presta90206">#REF!</definedName>
    <definedName name="Presta90207">#REF!</definedName>
    <definedName name="Presta90208">#REF!</definedName>
    <definedName name="Presta90209">#REF!</definedName>
    <definedName name="Presta90210">#REF!</definedName>
    <definedName name="Presta90211">#REF!</definedName>
    <definedName name="Presta90301">#REF!</definedName>
    <definedName name="Presta90302">#REF!</definedName>
    <definedName name="Presta90303">#REF!</definedName>
    <definedName name="Presta90304">#REF!</definedName>
    <definedName name="Presta90305">#REF!</definedName>
    <definedName name="Presta90306">#REF!</definedName>
    <definedName name="Presta90307">#REF!</definedName>
    <definedName name="Presta90308">#REF!</definedName>
    <definedName name="Presta90309">#REF!</definedName>
    <definedName name="Presta90310">#REF!</definedName>
    <definedName name="Presta90401">#REF!</definedName>
    <definedName name="Presta90402">#REF!</definedName>
    <definedName name="Presta90501">#REF!</definedName>
    <definedName name="Presta90502">#REF!</definedName>
    <definedName name="Presta90503">#REF!</definedName>
    <definedName name="Presta90504">#REF!</definedName>
    <definedName name="Print_Area_MI">#REF!</definedName>
    <definedName name="Print_Titles_MI">#REF!</definedName>
    <definedName name="programaf">#REF!</definedName>
    <definedName name="programarsa">#REF!</definedName>
    <definedName name="Project">#REF!</definedName>
    <definedName name="Project_Data1">#REF!</definedName>
    <definedName name="Projecteurs_AV">#REF!</definedName>
    <definedName name="PROJECT情報入力_CANCEL">[0]!PROJECT情報入力_CANCEL</definedName>
    <definedName name="PROJECT情報入力_OK">[0]!PROJECT情報入力_OK</definedName>
    <definedName name="Projet">#REF!</definedName>
    <definedName name="Protections__et_strippings">#REF!</definedName>
    <definedName name="Protections_sous_caisse">#REF!</definedName>
    <definedName name="PUDENZ_AF">#REF!</definedName>
    <definedName name="PUDENZ_MF">#REF!</definedName>
    <definedName name="QCDP2">#REF!</definedName>
    <definedName name="Radio_et_communication">#REF!</definedName>
    <definedName name="Record1">#REF!</definedName>
    <definedName name="Record2">#REF!</definedName>
    <definedName name="RecordType">#REF!</definedName>
    <definedName name="refsoft">#REF!</definedName>
    <definedName name="Réglage_en_site_des_projecteurs">#REF!</definedName>
    <definedName name="REPARTITION">#N/A</definedName>
    <definedName name="Répétiteurs_latéraux">#REF!</definedName>
    <definedName name="Réservoir___Circuit_carburant">#REF!</definedName>
    <definedName name="Rétroviseur_intérieur">#REF!</definedName>
    <definedName name="Rétroviseurs_extérieurs">#REF!</definedName>
    <definedName name="Roues__jantes__enjoliveurs__pneus">#REF!</definedName>
    <definedName name="ROV_Document">#REF!</definedName>
    <definedName name="RPULLmax">#REF!</definedName>
    <definedName name="RPULLmin">#REF!</definedName>
    <definedName name="RPULLnominal">#REF!</definedName>
    <definedName name="rsa">#REF!</definedName>
    <definedName name="s" hidden="1">{"CORSA",#N/A,FALSE,"RESUMO FINAL";"KADETT",#N/A,FALSE,"RESUMO FINAL";"VECTRA",#N/A,FALSE,"RESUMO FINAL";"OMEGA",#N/A,FALSE,"RESUMO FINAL";"S_10",#N/A,FALSE,"RESUMO FINAL";"BLAZER",#N/A,FALSE,"RESUMO FINAL"}</definedName>
    <definedName name="S_B">#REF!</definedName>
    <definedName name="S_H">#REF!</definedName>
    <definedName name="Selleries">#REF!</definedName>
    <definedName name="SHEET4">#REF!</definedName>
    <definedName name="Sièges_AR_2__rangée">#REF!</definedName>
    <definedName name="Sièges_AR_3__rangée">#REF!</definedName>
    <definedName name="Sièges_AV">#REF!</definedName>
    <definedName name="Sièges_AV___Extincteur">#REF!</definedName>
    <definedName name="Sièges_avant___Extincteur">#REF!</definedName>
    <definedName name="Signalisation_portes_ouvertes">#REF!</definedName>
    <definedName name="solver_lin" hidden="1">0</definedName>
    <definedName name="solver_num" hidden="1">0</definedName>
    <definedName name="solver_typ" hidden="1">3</definedName>
    <definedName name="solver_val" hidden="1">0.02</definedName>
    <definedName name="Sortie">#N/A</definedName>
    <definedName name="SourceSheetName">#REF!</definedName>
    <definedName name="SQL.条件ユーザ">#REF!</definedName>
    <definedName name="SQL.条件基本部番">#REF!</definedName>
    <definedName name="SQL.条件製造部門">#REF!</definedName>
    <definedName name="SQL.条件車種">#REF!</definedName>
    <definedName name="sss">#REF!</definedName>
    <definedName name="Superstructure">#REF!</definedName>
    <definedName name="Systèmes_pilotés">#REF!</definedName>
    <definedName name="SYSTEMLIST">#REF!</definedName>
    <definedName name="t" hidden="1">{"CORSA",#N/A,FALSE,"RESUMO FINAL";"KADETT",#N/A,FALSE,"RESUMO FINAL";"VECTRA",#N/A,FALSE,"RESUMO FINAL";"OMEGA",#N/A,FALSE,"RESUMO FINAL";"S_10",#N/A,FALSE,"RESUMO FINAL";"BLAZER",#N/A,FALSE,"RESUMO FINAL"}</definedName>
    <definedName name="T_Car_Type_Code_List.Car_Type_Code">#REF!</definedName>
    <definedName name="T_Customer_Cd_List.Customer_Cd">#REF!</definedName>
    <definedName name="T_GetCar_Type_Code.Car_Type_Code">#REF!</definedName>
    <definedName name="T_GetCustomer_Cd.Customer_Cd">#REF!</definedName>
    <definedName name="T_GetPProduct_No.PProduct_No">#REF!</definedName>
    <definedName name="T_GetProduct_Line_Cd.Product_Line_Cd">#REF!</definedName>
    <definedName name="T_GetProduct_Site_Cd.Product_Site_Cd">#REF!</definedName>
    <definedName name="T_GetYearMonth.YearMonth">#REF!</definedName>
    <definedName name="T_Product_Site_Cd_List.Product_Site_Cd">#REF!</definedName>
    <definedName name="T_YearMonth_List.YearMonth">#REF!</definedName>
    <definedName name="T_取入日程.貼付位置">#REF!</definedName>
    <definedName name="T_納入日程.製造部門">#REF!</definedName>
    <definedName name="table">#REF!</definedName>
    <definedName name="tableau">#REF!,#REF!,#REF!,#REF!</definedName>
    <definedName name="Tableau_de_bord">#REF!</definedName>
    <definedName name="Tablette_AR_et_tablettes_latérales">#REF!</definedName>
    <definedName name="Tapis_habitacle">#REF!</definedName>
    <definedName name="Témoins">#REF!</definedName>
    <definedName name="test">#REF!</definedName>
    <definedName name="Tests_ID_List">#REF!</definedName>
    <definedName name="Title">#REF!</definedName>
    <definedName name="Tmax_OFF">#REF!</definedName>
    <definedName name="Tmax_ON">#REF!</definedName>
    <definedName name="Tmin_OFF">#REF!</definedName>
    <definedName name="Tmin_ON">#REF!</definedName>
    <definedName name="Toit_ouvrant">#REF!</definedName>
    <definedName name="Tooling">#REF!</definedName>
    <definedName name="toto">#N/A</definedName>
    <definedName name="tototo">#REF!</definedName>
    <definedName name="Trappe_à_carburant">#REF!</definedName>
    <definedName name="TrustLevels">#REF!</definedName>
    <definedName name="TTl">#N/A</definedName>
    <definedName name="tttttttttttttttttttt">#REF!</definedName>
    <definedName name="txtChargeTel">#REF!</definedName>
    <definedName name="txtNumSheets">#REF!</definedName>
    <definedName name="txtReceDate">#REF!</definedName>
    <definedName name="txtSameProtoNo">#REF!</definedName>
    <definedName name="typcalc">#REF!</definedName>
    <definedName name="typcalcu">#REF!</definedName>
    <definedName name="Update">#REF!</definedName>
    <definedName name="vaguemot">#REF!</definedName>
    <definedName name="vaguvehi">#REF!</definedName>
    <definedName name="Valider">#N/A</definedName>
    <definedName name="VB_EXCEL.BtnAide_QuandClic">#REF!</definedName>
    <definedName name="VB_EXCEL.BtnAideCablage_QuandClic">#REF!</definedName>
    <definedName name="VB_EXCEL.BtnAideEquipotentielle_QuandClic">#REF!</definedName>
    <definedName name="VB_EXCEL.BtnAideInfoEchangees_QuandClic">#REF!</definedName>
    <definedName name="VB_EXCEL.BtnAideNomFiche_QuandClic">#REF!</definedName>
    <definedName name="VB_EXCEL.BtnAideSignalAppel_QuandClic">#REF!</definedName>
    <definedName name="VB_EXCEL.BtnAideSignalStabilise_QuandClic">#REF!</definedName>
    <definedName name="VB_EXCEL.BtnBe_QuandClic">#REF!</definedName>
    <definedName name="VB_EXCEL.BtnFamille_QuandClic">#REF!</definedName>
    <definedName name="VB_EXCEL.BtnFeuille2_QuandClic">#REF!</definedName>
    <definedName name="VB_EXCEL.BtnFeuille3_QuandClic">#REF!</definedName>
    <definedName name="VB_EXCEL.BtnImprimer_QuandClic">#REF!</definedName>
    <definedName name="VB_EXCEL.BtnListe_QuandClic">#REF!</definedName>
    <definedName name="VB_EXCEL.BtnPreconisationFonctionnement_QuandClic">#REF!</definedName>
    <definedName name="VB_EXCEL.BtnSaisie_QuandClic">#REF!</definedName>
    <definedName name="VB_EXCEL.BtnSortir_QuandClic">#REF!</definedName>
    <definedName name="VB_EXCEL.BtnSousFamille_QuandClic">#REF!</definedName>
    <definedName name="VB_EXCEL.sauvegarde_QuandClic">#REF!</definedName>
    <definedName name="véhicule">#REF!</definedName>
    <definedName name="Verrous_et_clés">#REF!</definedName>
    <definedName name="Version">#REF!</definedName>
    <definedName name="VI_02_List_01">#REF!</definedName>
    <definedName name="VIEWMK_VTB61DUA_UD">#REF!</definedName>
    <definedName name="VIEWMK_VTB61DUA_UD1">#REF!</definedName>
    <definedName name="Vitre_de_custode">#REF!</definedName>
    <definedName name="Vitres_de_portes_face_AR_1_3_2_3">#REF!</definedName>
    <definedName name="Vitres_de_portes_latérales_AR">#REF!</definedName>
    <definedName name="Vitres_de_portes_latérales_AV">#REF!</definedName>
    <definedName name="Volant___colonne_de_direction">#REF!</definedName>
    <definedName name="VSmax">#REF!</definedName>
    <definedName name="VSmin">#REF!</definedName>
    <definedName name="VSnominal">#REF!</definedName>
    <definedName name="v馼icule">#REF!</definedName>
    <definedName name="western" hidden="1">{"CORSA",#N/A,FALSE,"RESUMO FINAL";"KADETT",#N/A,FALSE,"RESUMO FINAL";"VECTRA",#N/A,FALSE,"RESUMO FINAL";"OMEGA",#N/A,FALSE,"RESUMO FINAL";"S_10",#N/A,FALSE,"RESUMO FINAL";"BLAZER",#N/A,FALSE,"RESUMO FINAL"}</definedName>
    <definedName name="wrn.FINAL._.RESUMO." hidden="1">{"CORSA",#N/A,FALSE,"RESUMO FINAL";"KADETT",#N/A,FALSE,"RESUMO FINAL";"VECTRA",#N/A,FALSE,"RESUMO FINAL";"OMEGA",#N/A,FALSE,"RESUMO FINAL";"S_10",#N/A,FALSE,"RESUMO FINAL";"BLAZER",#N/A,FALSE,"RESUMO FINAL"}</definedName>
    <definedName name="wrn.pièces._.en._.essai." hidden="1">{#N/A,#N/A,FALSE,"DE-MP 326";#N/A,#N/A,FALSE,"DE-MP 40";#N/A,#N/A,FALSE,"DE-MP 46";#N/A,#N/A,FALSE,"DE-TP 459"}</definedName>
    <definedName name="wrn.roulhedb." hidden="1">{#N/A,#N/A,FALSE,"C065 MP 46";#N/A,#N/A,FALSE,"Roulage hebdomadaire";#N/A,#N/A,FALSE,"X57J MP 326";#N/A,#N/A,FALSE,"BAO MP 40";#N/A,#N/A,FALSE,"557 TP 459"}</definedName>
    <definedName name="X">#N/A</definedName>
    <definedName name="xxx">#REF!</definedName>
    <definedName name="z">#N/A</definedName>
    <definedName name="ZDIAG_BAT">#REF!</definedName>
    <definedName name="Zdiag1">"Bouton 2,Bouton 3,Zone de liste 4,Zone de liste 5,Etiquette 6,Etiquette 7"</definedName>
    <definedName name="ZomMot_k">#REF!</definedName>
    <definedName name="_xlnm.Print_Area" localSheetId="4">'Bilan -7°C'!$E$6:$AE$86</definedName>
    <definedName name="_xlnm.Print_Area" localSheetId="2">'Bilan DCDC'!$E$5:$Y$84</definedName>
    <definedName name="_xlnm.Print_Area">#REF!</definedName>
    <definedName name="Zone_de_chargement">#REF!</definedName>
    <definedName name="おいおい">[0]!おいおい</definedName>
    <definedName name="グループ分類">#REF!</definedName>
    <definedName name="グループ名">#REF!</definedName>
    <definedName name="トヨタ車種別差異">[0]!トヨタ車種別差異</definedName>
    <definedName name="ﾅﾋﾞ形態">#REF!</definedName>
    <definedName name="ﾅﾋﾞ形態分類">#REF!</definedName>
    <definedName name="ふぁｆ">[0]!ふぁｆ</definedName>
    <definedName name="ふぁふぁ">[0]!ふぁふぁ</definedName>
    <definedName name="プロジェクト分類">#REF!</definedName>
    <definedName name="まとめ２">[0]!まとめ２</definedName>
    <definedName name="ﾒﾃﾞｨｱ">#REF!</definedName>
    <definedName name="メディア分類">#REF!</definedName>
    <definedName name="ﾒﾆｭｰ">#REF!</definedName>
    <definedName name="ﾓﾃﾞﾙ">#REF!</definedName>
    <definedName name="ﾓﾃﾞﾙｺｰﾄﾞ">#REF!</definedName>
    <definedName name="モデル分類">#REF!</definedName>
    <definedName name="仕向け">#REF!</definedName>
    <definedName name="仕向け分類">#REF!</definedName>
    <definedName name="代表課">#REF!</definedName>
    <definedName name="印刷">#REF!,#REF!,#REF!,#REF!</definedName>
    <definedName name="原企担当情報入力_OK">[0]!原企担当情報入力_OK</definedName>
    <definedName name="取締役会資料">[0]!取締役会資料</definedName>
    <definedName name="品目コード">#REF!</definedName>
    <definedName name="品種区分_CLICK">[0]!品種区分_CLICK</definedName>
    <definedName name="品種区分_OK">[0]!品種区分_OK</definedName>
    <definedName name="営業実績">#REF!</definedName>
    <definedName name="営業実績2">#REF!</definedName>
    <definedName name="固有共通">#REF!</definedName>
    <definedName name="固有共通分類">#REF!</definedName>
    <definedName name="基本枠.明細">#REF!</definedName>
    <definedName name="基本枠.明細_改行">#REF!</definedName>
    <definedName name="大中分類">#REF!</definedName>
    <definedName name="大分類SEL_CHANGE">[0]!大分類SEL_CHANGE</definedName>
    <definedName name="室名">#REF!</definedName>
    <definedName name="小分類">#REF!</definedName>
    <definedName name="小分類SEL_CHANGE">[0]!小分類SEL_CHANGE</definedName>
    <definedName name="岸上">[0]!岸上</definedName>
    <definedName name="差異グラフ">[0]!差異グラフ</definedName>
    <definedName name="情報入力_CANCEL">[0]!情報入力_CANCEL</definedName>
    <definedName name="情報入力_OK">[0]!情報入力_OK</definedName>
    <definedName name="所属室名">#REF!</definedName>
    <definedName name="担当者">"テキスト 15"</definedName>
    <definedName name="提出">[0]!提出</definedName>
    <definedName name="提出する">[0]!提出する</definedName>
    <definedName name="明細読み込み">#REF!</definedName>
    <definedName name="段階">"エディット 27"</definedName>
    <definedName name="画面.01_N">#REF!</definedName>
    <definedName name="画面.01_N1">#REF!</definedName>
    <definedName name="画面.02_N">#REF!</definedName>
    <definedName name="画面.02_N1">#REF!</definedName>
    <definedName name="画面.03_N">#REF!</definedName>
    <definedName name="画面.03_N1">#REF!</definedName>
    <definedName name="画面.04_N">#REF!</definedName>
    <definedName name="画面.04_N1">#REF!</definedName>
    <definedName name="画面.05_N">#REF!</definedName>
    <definedName name="画面.05_N1">#REF!</definedName>
    <definedName name="画面.06_N">#REF!</definedName>
    <definedName name="画面.06_N1">#REF!</definedName>
    <definedName name="画面.07_N">#REF!</definedName>
    <definedName name="画面.07_N1">#REF!</definedName>
    <definedName name="画面.08_N">#REF!</definedName>
    <definedName name="画面.08_N1">#REF!</definedName>
    <definedName name="画面.09_N">#REF!</definedName>
    <definedName name="画面.09_N1">#REF!</definedName>
    <definedName name="画面.10_N">#REF!</definedName>
    <definedName name="画面.10_N1">#REF!</definedName>
    <definedName name="画面.11_N">#REF!</definedName>
    <definedName name="画面.11_N1">#REF!</definedName>
    <definedName name="画面.12_N">#REF!</definedName>
    <definedName name="画面.12_N1">#REF!</definedName>
    <definedName name="画面.13_N">#REF!</definedName>
    <definedName name="画面.13_N1">#REF!</definedName>
    <definedName name="画面.14_N">#REF!</definedName>
    <definedName name="画面.14_N1">#REF!</definedName>
    <definedName name="画面.15_N">#REF!</definedName>
    <definedName name="画面.15_N1">#REF!</definedName>
    <definedName name="画面.16_N">#REF!</definedName>
    <definedName name="画面.16_N1">#REF!</definedName>
    <definedName name="画面.17_N">#REF!</definedName>
    <definedName name="画面.17_N1">#REF!</definedName>
    <definedName name="画面.18_N">#REF!</definedName>
    <definedName name="画面.18_N1">#REF!</definedName>
    <definedName name="画面.19_N">#REF!</definedName>
    <definedName name="画面.19_N1">#REF!</definedName>
    <definedName name="画面.20_N">#REF!</definedName>
    <definedName name="画面.20_N1">#REF!</definedName>
    <definedName name="画面.21_N">#REF!</definedName>
    <definedName name="画面.21_N1">#REF!</definedName>
    <definedName name="画面.22_N">#REF!</definedName>
    <definedName name="画面.22_N1">#REF!</definedName>
    <definedName name="画面.23_N">#REF!</definedName>
    <definedName name="画面.23_N1">#REF!</definedName>
    <definedName name="画面.24_N">#REF!</definedName>
    <definedName name="画面.24_N1">#REF!</definedName>
    <definedName name="画面.25_N">#REF!</definedName>
    <definedName name="画面.25_N1">#REF!</definedName>
    <definedName name="画面.26_N">#REF!</definedName>
    <definedName name="画面.26_N1">#REF!</definedName>
    <definedName name="画面.27_N">#REF!</definedName>
    <definedName name="画面.27_N1">#REF!</definedName>
    <definedName name="画面.28_N">#REF!</definedName>
    <definedName name="画面.28_N1">#REF!</definedName>
    <definedName name="画面.29_N">#REF!</definedName>
    <definedName name="画面.29_N1">#REF!</definedName>
    <definedName name="画面.30_N">#REF!</definedName>
    <definedName name="画面.30_N1">#REF!</definedName>
    <definedName name="画面.31_N">#REF!</definedName>
    <definedName name="画面.31_N1">#REF!</definedName>
    <definedName name="画面.SS">#REF!</definedName>
    <definedName name="画面.データ領域">#REF!</definedName>
    <definedName name="画面.印刷領域">#REF!</definedName>
    <definedName name="画面.取入場所">#REF!</definedName>
    <definedName name="画面.品番">#REF!</definedName>
    <definedName name="画面.基本データ領域">#REF!</definedName>
    <definedName name="画面.数量">#REF!</definedName>
    <definedName name="画面.日付開始">#REF!</definedName>
    <definedName name="画面.日付開始N1">#REF!</definedName>
    <definedName name="画面.空白">#REF!</definedName>
    <definedName name="画面.製番">#REF!</definedName>
    <definedName name="画面.設変">#REF!</definedName>
    <definedName name="画面.車種">#REF!</definedName>
    <definedName name="目次">[0]!目次</definedName>
    <definedName name="納入先">#REF!</definedName>
    <definedName name="納入先ｺｰﾄﾞ">#REF!</definedName>
    <definedName name="納入先分類">#REF!</definedName>
    <definedName name="納入形態">#REF!</definedName>
    <definedName name="納入形態分類">#REF!</definedName>
    <definedName name="累計見直し_機種別">[0]!累計見直し_機種別</definedName>
    <definedName name="累計見直し_車種別_機種別_トヨタ">[0]!累計見直し_車種別_機種別_トヨタ</definedName>
    <definedName name="累計見直し_顧客別_機種別">[0]!累計見直し_顧客別_機種別</definedName>
    <definedName name="製品">#REF!</definedName>
    <definedName name="製品分類">#REF!</definedName>
    <definedName name="製品構成">#REF!</definedName>
    <definedName name="製品構成分類">#REF!</definedName>
    <definedName name="要求画面.ユーザ">#REF!</definedName>
    <definedName name="要求画面.計画年月">#REF!</definedName>
    <definedName name="要求画面.車種">#REF!</definedName>
    <definedName name="計画と実績1から6月">#REF!,#REF!</definedName>
    <definedName name="計画と実績7から12月">#REF!,#REF!</definedName>
    <definedName name="課名">#REF!</definedName>
    <definedName name="費目">#REF!</definedName>
    <definedName name="費目コード">#REF!</definedName>
    <definedName name="部門No">#REF!</definedName>
    <definedName name="部門名">#REF!</definedName>
    <definedName name="金型明細">#REF!</definedName>
    <definedName name="集約機種選択_CANCEL">[0]!集約機種選択_CANCEL</definedName>
    <definedName name="集約機種選択_OK">[0]!集約機種選択_OK</definedName>
    <definedName name="集約機種選択_SORTCHANGE">[0]!集約機種選択_SORTCHANGE</definedName>
    <definedName name="顧客別差異">[0]!顧客別差異</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 i="8" l="1"/>
  <c r="I3" i="2"/>
  <c r="I5" i="2"/>
  <c r="I7" i="2"/>
  <c r="I10" i="2"/>
  <c r="I9" i="2" s="1"/>
  <c r="I15" i="3"/>
  <c r="I22" i="3"/>
  <c r="I21" i="3"/>
  <c r="I20" i="3"/>
  <c r="I19" i="3"/>
  <c r="I18" i="3"/>
  <c r="I17" i="3"/>
  <c r="I16" i="3"/>
  <c r="I14" i="3"/>
  <c r="I13" i="3"/>
  <c r="I12" i="3"/>
  <c r="I11" i="3"/>
  <c r="D23" i="3"/>
  <c r="D22" i="3"/>
  <c r="AA138" i="2"/>
  <c r="AA139" i="2" s="1"/>
  <c r="AA140" i="2" s="1"/>
  <c r="T138" i="2"/>
  <c r="T139" i="2" s="1"/>
  <c r="T140" i="2" s="1"/>
  <c r="M138" i="2"/>
  <c r="M139" i="2" s="1"/>
  <c r="M140" i="2" s="1"/>
  <c r="AA94" i="2" l="1"/>
  <c r="AA113" i="2" s="1"/>
  <c r="AA118" i="2" s="1"/>
  <c r="AA95" i="2"/>
  <c r="L15" i="3" s="1"/>
  <c r="T96" i="2"/>
  <c r="T115" i="2" s="1"/>
  <c r="T124" i="2" s="1"/>
  <c r="AA97" i="2"/>
  <c r="AA116" i="2" s="1"/>
  <c r="AA127" i="2" s="1"/>
  <c r="AA96" i="2"/>
  <c r="AA115" i="2" s="1"/>
  <c r="AA124" i="2" s="1"/>
  <c r="T94" i="2"/>
  <c r="H15" i="3" s="1"/>
  <c r="H16" i="3" s="1"/>
  <c r="T97" i="2"/>
  <c r="T116" i="2" s="1"/>
  <c r="T127" i="2" s="1"/>
  <c r="M94" i="2"/>
  <c r="C17" i="3" s="1"/>
  <c r="C18" i="3" s="1"/>
  <c r="M96" i="2"/>
  <c r="M115" i="2" s="1"/>
  <c r="M124" i="2" s="1"/>
  <c r="M95" i="2"/>
  <c r="T95" i="2"/>
  <c r="G15" i="3" s="1"/>
  <c r="G16" i="3" s="1"/>
  <c r="M97" i="2"/>
  <c r="M116" i="2" s="1"/>
  <c r="M127" i="2" s="1"/>
  <c r="M15" i="3" l="1"/>
  <c r="AA99" i="2"/>
  <c r="AA104" i="2" s="1"/>
  <c r="M114" i="2"/>
  <c r="M121" i="2" s="1"/>
  <c r="B17" i="3"/>
  <c r="M113" i="2"/>
  <c r="M118" i="2" s="1"/>
  <c r="M99" i="2"/>
  <c r="M100" i="2" s="1"/>
  <c r="T113" i="2"/>
  <c r="T118" i="2" s="1"/>
  <c r="T99" i="2"/>
  <c r="T100" i="2" s="1"/>
  <c r="AA114" i="2"/>
  <c r="AA121" i="2" s="1"/>
  <c r="AA101" i="2"/>
  <c r="AA106" i="2" s="1"/>
  <c r="M101" i="2"/>
  <c r="M106" i="2" s="1"/>
  <c r="T114" i="2"/>
  <c r="T121" i="2" s="1"/>
  <c r="T101" i="2"/>
  <c r="AA100" i="2" l="1"/>
  <c r="M102" i="2"/>
  <c r="AA102" i="2"/>
  <c r="T104" i="2"/>
  <c r="M104" i="2"/>
  <c r="T102" i="2"/>
  <c r="T106" i="2"/>
  <c r="C116" i="2" l="1"/>
  <c r="C115" i="2"/>
  <c r="D11" i="2"/>
  <c r="D10" i="2"/>
  <c r="D9" i="2"/>
  <c r="D8" i="2"/>
  <c r="B11" i="2"/>
  <c r="B10" i="2"/>
  <c r="B9" i="2"/>
  <c r="B8" i="2"/>
  <c r="I4" i="9"/>
  <c r="I10" i="9" s="1"/>
  <c r="N4" i="9"/>
  <c r="N9" i="9" s="1"/>
  <c r="D4" i="9"/>
  <c r="D15" i="9" s="1"/>
  <c r="X107" i="8"/>
  <c r="W107" i="8"/>
  <c r="V107" i="8"/>
  <c r="U107" i="8"/>
  <c r="T107" i="8"/>
  <c r="R107" i="8"/>
  <c r="Q107" i="8"/>
  <c r="P107" i="8"/>
  <c r="O107" i="8"/>
  <c r="N107" i="8"/>
  <c r="L107" i="8"/>
  <c r="K107" i="8"/>
  <c r="J107" i="8"/>
  <c r="I107" i="8"/>
  <c r="H107" i="8"/>
  <c r="S93" i="8"/>
  <c r="S110" i="8" s="1"/>
  <c r="M93" i="8"/>
  <c r="M110" i="8" s="1"/>
  <c r="S92" i="8"/>
  <c r="S109" i="8" s="1"/>
  <c r="M92" i="8"/>
  <c r="M109" i="8" s="1"/>
  <c r="X90" i="8"/>
  <c r="W90" i="8"/>
  <c r="V90" i="8"/>
  <c r="U90" i="8"/>
  <c r="T90" i="8"/>
  <c r="R90" i="8"/>
  <c r="Q90" i="8"/>
  <c r="P90" i="8"/>
  <c r="O90" i="8"/>
  <c r="N90" i="8"/>
  <c r="L90" i="8"/>
  <c r="K90" i="8"/>
  <c r="J90" i="8"/>
  <c r="I90" i="8"/>
  <c r="H90" i="8"/>
  <c r="D88" i="8"/>
  <c r="Y59" i="8"/>
  <c r="Y92" i="8" s="1"/>
  <c r="Y109" i="8" s="1"/>
  <c r="R13" i="8"/>
  <c r="Q13" i="8"/>
  <c r="P13" i="8"/>
  <c r="O13" i="8"/>
  <c r="N13" i="8"/>
  <c r="L13" i="8"/>
  <c r="K13" i="8"/>
  <c r="J13" i="8"/>
  <c r="I13" i="8"/>
  <c r="H13" i="8"/>
  <c r="X12" i="8"/>
  <c r="W12" i="8"/>
  <c r="V12" i="8"/>
  <c r="U12" i="8"/>
  <c r="T12" i="8"/>
  <c r="R12" i="8"/>
  <c r="R15" i="8" s="1"/>
  <c r="Q12" i="8"/>
  <c r="Q15" i="8" s="1"/>
  <c r="P12" i="8"/>
  <c r="P15" i="8" s="1"/>
  <c r="O12" i="8"/>
  <c r="O15" i="8" s="1"/>
  <c r="N12" i="8"/>
  <c r="N15" i="8" s="1"/>
  <c r="L12" i="8"/>
  <c r="L15" i="8" s="1"/>
  <c r="K12" i="8"/>
  <c r="K15" i="8" s="1"/>
  <c r="J12" i="8"/>
  <c r="J15" i="8" s="1"/>
  <c r="I12" i="8"/>
  <c r="I15" i="8" s="1"/>
  <c r="H12" i="8"/>
  <c r="H15" i="8" s="1"/>
  <c r="X11" i="8"/>
  <c r="W11" i="8"/>
  <c r="V11" i="8"/>
  <c r="U11" i="8"/>
  <c r="T11" i="8"/>
  <c r="R11" i="8"/>
  <c r="Q11" i="8"/>
  <c r="P11" i="8"/>
  <c r="O11" i="8"/>
  <c r="N11" i="8"/>
  <c r="L11" i="8"/>
  <c r="K11" i="8"/>
  <c r="J11" i="8"/>
  <c r="I11" i="8"/>
  <c r="H11" i="8"/>
  <c r="D11" i="3"/>
  <c r="D12" i="3" s="1"/>
  <c r="K9" i="3"/>
  <c r="F9" i="3"/>
  <c r="A9" i="3"/>
  <c r="AE139" i="2"/>
  <c r="X139" i="2"/>
  <c r="AD138" i="2"/>
  <c r="AD139" i="2" s="1"/>
  <c r="AD140" i="2" s="1"/>
  <c r="AC138" i="2"/>
  <c r="AC139" i="2" s="1"/>
  <c r="AC140" i="2" s="1"/>
  <c r="AB138" i="2"/>
  <c r="AB139" i="2" s="1"/>
  <c r="AB140" i="2" s="1"/>
  <c r="Z138" i="2"/>
  <c r="Z139" i="2" s="1"/>
  <c r="Z140" i="2" s="1"/>
  <c r="Y138" i="2"/>
  <c r="Y139" i="2" s="1"/>
  <c r="Y140" i="2" s="1"/>
  <c r="W138" i="2"/>
  <c r="W139" i="2" s="1"/>
  <c r="W140" i="2" s="1"/>
  <c r="V138" i="2"/>
  <c r="V139" i="2" s="1"/>
  <c r="V140" i="2" s="1"/>
  <c r="U138" i="2"/>
  <c r="U139" i="2" s="1"/>
  <c r="U140" i="2" s="1"/>
  <c r="S138" i="2"/>
  <c r="S139" i="2" s="1"/>
  <c r="S140" i="2" s="1"/>
  <c r="R138" i="2"/>
  <c r="R139" i="2" s="1"/>
  <c r="R140" i="2" s="1"/>
  <c r="P138" i="2"/>
  <c r="P139" i="2" s="1"/>
  <c r="P140" i="2" s="1"/>
  <c r="O138" i="2"/>
  <c r="O139" i="2" s="1"/>
  <c r="O140" i="2" s="1"/>
  <c r="N138" i="2"/>
  <c r="N139" i="2" s="1"/>
  <c r="N140" i="2" s="1"/>
  <c r="L138" i="2"/>
  <c r="L139" i="2" s="1"/>
  <c r="L140" i="2" s="1"/>
  <c r="K138" i="2"/>
  <c r="K139" i="2" s="1"/>
  <c r="K140" i="2" s="1"/>
  <c r="J138" i="2"/>
  <c r="J139" i="2" s="1"/>
  <c r="J140" i="2" s="1"/>
  <c r="I116" i="2"/>
  <c r="I115" i="2"/>
  <c r="I114" i="2"/>
  <c r="I113" i="2"/>
  <c r="I106" i="2"/>
  <c r="I104" i="2"/>
  <c r="I101" i="2"/>
  <c r="I99" i="2"/>
  <c r="I97" i="2"/>
  <c r="I96" i="2"/>
  <c r="I95" i="2"/>
  <c r="I94" i="2"/>
  <c r="D90" i="2"/>
  <c r="C89" i="2"/>
  <c r="T92" i="8" l="1"/>
  <c r="T109" i="8" s="1"/>
  <c r="Y93" i="8"/>
  <c r="Y110" i="8" s="1"/>
  <c r="W93" i="8"/>
  <c r="L10" i="9" s="1"/>
  <c r="L11" i="9" s="1"/>
  <c r="L12" i="9" s="1"/>
  <c r="K92" i="8"/>
  <c r="K95" i="8" s="1"/>
  <c r="K100" i="8" s="1"/>
  <c r="N15" i="9"/>
  <c r="J141" i="2"/>
  <c r="I92" i="8"/>
  <c r="C6" i="9" s="1"/>
  <c r="C7" i="9" s="1"/>
  <c r="L92" i="8"/>
  <c r="C13" i="9" s="1"/>
  <c r="C14" i="9" s="1"/>
  <c r="C15" i="9" s="1"/>
  <c r="V93" i="8"/>
  <c r="L8" i="9" s="1"/>
  <c r="L9" i="9" s="1"/>
  <c r="D14" i="9"/>
  <c r="I93" i="8"/>
  <c r="I97" i="8" s="1"/>
  <c r="I98" i="8" s="1"/>
  <c r="R92" i="8"/>
  <c r="H13" i="9" s="1"/>
  <c r="H14" i="9" s="1"/>
  <c r="H15" i="9" s="1"/>
  <c r="J92" i="8"/>
  <c r="C8" i="9" s="1"/>
  <c r="C9" i="9" s="1"/>
  <c r="K93" i="8"/>
  <c r="B10" i="9" s="1"/>
  <c r="B11" i="9" s="1"/>
  <c r="B12" i="9" s="1"/>
  <c r="N93" i="8"/>
  <c r="N97" i="8" s="1"/>
  <c r="O93" i="8"/>
  <c r="G6" i="9" s="1"/>
  <c r="G7" i="9" s="1"/>
  <c r="T93" i="8"/>
  <c r="L4" i="9" s="1"/>
  <c r="L5" i="9" s="1"/>
  <c r="U93" i="8"/>
  <c r="L6" i="9" s="1"/>
  <c r="L7" i="9" s="1"/>
  <c r="X93" i="8"/>
  <c r="L13" i="9" s="1"/>
  <c r="L14" i="9" s="1"/>
  <c r="L15" i="9" s="1"/>
  <c r="J93" i="8"/>
  <c r="J97" i="8" s="1"/>
  <c r="J102" i="8" s="1"/>
  <c r="P93" i="8"/>
  <c r="G8" i="9" s="1"/>
  <c r="G9" i="9" s="1"/>
  <c r="H93" i="8"/>
  <c r="B4" i="9" s="1"/>
  <c r="B5" i="9" s="1"/>
  <c r="Q92" i="8"/>
  <c r="H10" i="9" s="1"/>
  <c r="H11" i="9" s="1"/>
  <c r="H12" i="9" s="1"/>
  <c r="Q93" i="8"/>
  <c r="Q97" i="8" s="1"/>
  <c r="Q98" i="8" s="1"/>
  <c r="R93" i="8"/>
  <c r="R110" i="8" s="1"/>
  <c r="D13" i="3"/>
  <c r="G4" i="9"/>
  <c r="G5" i="9" s="1"/>
  <c r="N8" i="9"/>
  <c r="D5" i="9"/>
  <c r="D7" i="9" s="1"/>
  <c r="D13" i="9" s="1"/>
  <c r="D6" i="9"/>
  <c r="U92" i="8"/>
  <c r="M6" i="9" s="1"/>
  <c r="M7" i="9" s="1"/>
  <c r="I5" i="9"/>
  <c r="I7" i="9" s="1"/>
  <c r="D8" i="9"/>
  <c r="N10" i="9"/>
  <c r="N92" i="8"/>
  <c r="H4" i="9" s="1"/>
  <c r="H5" i="9" s="1"/>
  <c r="V92" i="8"/>
  <c r="M8" i="9" s="1"/>
  <c r="M9" i="9" s="1"/>
  <c r="L93" i="8"/>
  <c r="B13" i="9" s="1"/>
  <c r="B14" i="9" s="1"/>
  <c r="B15" i="9" s="1"/>
  <c r="I6" i="9"/>
  <c r="D9" i="9"/>
  <c r="I14" i="9"/>
  <c r="O92" i="8"/>
  <c r="H6" i="9" s="1"/>
  <c r="H7" i="9" s="1"/>
  <c r="W92" i="8"/>
  <c r="M10" i="9" s="1"/>
  <c r="M11" i="9" s="1"/>
  <c r="M12" i="9" s="1"/>
  <c r="D10" i="9"/>
  <c r="I15" i="9"/>
  <c r="H92" i="8"/>
  <c r="C4" i="9" s="1"/>
  <c r="C5" i="9" s="1"/>
  <c r="P92" i="8"/>
  <c r="H8" i="9" s="1"/>
  <c r="H9" i="9" s="1"/>
  <c r="X92" i="8"/>
  <c r="M13" i="9" s="1"/>
  <c r="M14" i="9" s="1"/>
  <c r="M15" i="9" s="1"/>
  <c r="N5" i="9"/>
  <c r="N7" i="9" s="1"/>
  <c r="I8" i="9"/>
  <c r="N6" i="9"/>
  <c r="I9" i="9"/>
  <c r="N14" i="9"/>
  <c r="R141" i="2"/>
  <c r="Y141" i="2"/>
  <c r="D14" i="3"/>
  <c r="N15" i="3"/>
  <c r="D21" i="3"/>
  <c r="N16" i="3"/>
  <c r="D24" i="3"/>
  <c r="D15" i="3"/>
  <c r="N17" i="3"/>
  <c r="D16" i="3"/>
  <c r="N18" i="3"/>
  <c r="N11" i="3"/>
  <c r="D17" i="3"/>
  <c r="N19" i="3"/>
  <c r="N12" i="3"/>
  <c r="D18" i="3"/>
  <c r="N20" i="3"/>
  <c r="N13" i="3"/>
  <c r="D19" i="3"/>
  <c r="N21" i="3"/>
  <c r="N14" i="3"/>
  <c r="D20" i="3"/>
  <c r="N22" i="3"/>
  <c r="T95" i="8" l="1"/>
  <c r="T100" i="8" s="1"/>
  <c r="T101" i="8" s="1"/>
  <c r="M4" i="9"/>
  <c r="M5" i="9" s="1"/>
  <c r="X97" i="8"/>
  <c r="X98" i="8" s="1"/>
  <c r="B6" i="9"/>
  <c r="B7" i="9" s="1"/>
  <c r="K109" i="8"/>
  <c r="K96" i="8"/>
  <c r="V97" i="8"/>
  <c r="V98" i="8" s="1"/>
  <c r="V110" i="8"/>
  <c r="T97" i="8"/>
  <c r="T98" i="8" s="1"/>
  <c r="T110" i="8"/>
  <c r="U97" i="8"/>
  <c r="U98" i="8" s="1"/>
  <c r="U110" i="8"/>
  <c r="G13" i="9"/>
  <c r="G14" i="9" s="1"/>
  <c r="G15" i="9" s="1"/>
  <c r="W97" i="8"/>
  <c r="W102" i="8" s="1"/>
  <c r="R109" i="8"/>
  <c r="W110" i="8"/>
  <c r="Q110" i="8"/>
  <c r="I102" i="8"/>
  <c r="I95" i="8"/>
  <c r="I100" i="8" s="1"/>
  <c r="R97" i="8"/>
  <c r="R98" i="8" s="1"/>
  <c r="I110" i="8"/>
  <c r="L109" i="8"/>
  <c r="I109" i="8"/>
  <c r="B8" i="9"/>
  <c r="B9" i="9" s="1"/>
  <c r="O97" i="8"/>
  <c r="O98" i="8" s="1"/>
  <c r="J110" i="8"/>
  <c r="Q95" i="8"/>
  <c r="Q96" i="8" s="1"/>
  <c r="Q109" i="8"/>
  <c r="N110" i="8"/>
  <c r="C10" i="9"/>
  <c r="C11" i="9" s="1"/>
  <c r="C12" i="9" s="1"/>
  <c r="J98" i="8"/>
  <c r="AC95" i="2"/>
  <c r="L19" i="3" s="1"/>
  <c r="O97" i="2"/>
  <c r="O116" i="2" s="1"/>
  <c r="O127" i="2" s="1"/>
  <c r="AD96" i="2"/>
  <c r="AD115" i="2" s="1"/>
  <c r="AD124" i="2" s="1"/>
  <c r="O94" i="2"/>
  <c r="U94" i="2"/>
  <c r="H17" i="3" s="1"/>
  <c r="H18" i="3" s="1"/>
  <c r="J95" i="2"/>
  <c r="Z97" i="2"/>
  <c r="Z116" i="2" s="1"/>
  <c r="Z127" i="2" s="1"/>
  <c r="AE95" i="2"/>
  <c r="V96" i="2"/>
  <c r="V115" i="2" s="1"/>
  <c r="V124" i="2" s="1"/>
  <c r="AB95" i="2"/>
  <c r="Q95" i="2"/>
  <c r="S95" i="2"/>
  <c r="N94" i="2"/>
  <c r="J94" i="2"/>
  <c r="P94" i="2"/>
  <c r="J97" i="2"/>
  <c r="J116" i="2" s="1"/>
  <c r="J127" i="2" s="1"/>
  <c r="AB97" i="2"/>
  <c r="AB116" i="2" s="1"/>
  <c r="AB127" i="2" s="1"/>
  <c r="AE94" i="2"/>
  <c r="U96" i="2"/>
  <c r="U115" i="2" s="1"/>
  <c r="U124" i="2" s="1"/>
  <c r="AC96" i="2"/>
  <c r="AC115" i="2" s="1"/>
  <c r="AC124" i="2" s="1"/>
  <c r="AB96" i="2"/>
  <c r="AB115" i="2" s="1"/>
  <c r="AB124" i="2" s="1"/>
  <c r="R97" i="2"/>
  <c r="R116" i="2" s="1"/>
  <c r="R127" i="2" s="1"/>
  <c r="V94" i="2"/>
  <c r="P95" i="2"/>
  <c r="B23" i="3" s="1"/>
  <c r="B24" i="3" s="1"/>
  <c r="J96" i="2"/>
  <c r="J115" i="2" s="1"/>
  <c r="J124" i="2" s="1"/>
  <c r="R96" i="2"/>
  <c r="R115" i="2" s="1"/>
  <c r="R124" i="2" s="1"/>
  <c r="Z94" i="2"/>
  <c r="N96" i="2"/>
  <c r="N115" i="2" s="1"/>
  <c r="N124" i="2" s="1"/>
  <c r="AD94" i="2"/>
  <c r="S94" i="2"/>
  <c r="N95" i="2"/>
  <c r="O96" i="2"/>
  <c r="O115" i="2" s="1"/>
  <c r="O124" i="2" s="1"/>
  <c r="R95" i="2"/>
  <c r="AE96" i="2"/>
  <c r="Q94" i="2"/>
  <c r="X96" i="2"/>
  <c r="P97" i="2"/>
  <c r="P116" i="2" s="1"/>
  <c r="P127" i="2" s="1"/>
  <c r="K95" i="2"/>
  <c r="L96" i="2"/>
  <c r="L115" i="2" s="1"/>
  <c r="L124" i="2" s="1"/>
  <c r="Y97" i="2"/>
  <c r="Y116" i="2" s="1"/>
  <c r="Y127" i="2" s="1"/>
  <c r="Q96" i="2"/>
  <c r="W97" i="2"/>
  <c r="W116" i="2" s="1"/>
  <c r="W127" i="2" s="1"/>
  <c r="X94" i="2"/>
  <c r="W96" i="2"/>
  <c r="W115" i="2" s="1"/>
  <c r="W124" i="2" s="1"/>
  <c r="Z95" i="2"/>
  <c r="Y96" i="2"/>
  <c r="Y115" i="2" s="1"/>
  <c r="Y124" i="2" s="1"/>
  <c r="AC94" i="2"/>
  <c r="N97" i="2"/>
  <c r="N116" i="2" s="1"/>
  <c r="N127" i="2" s="1"/>
  <c r="V97" i="2"/>
  <c r="V116" i="2" s="1"/>
  <c r="V127" i="2" s="1"/>
  <c r="AD97" i="2"/>
  <c r="AD116" i="2" s="1"/>
  <c r="AD127" i="2" s="1"/>
  <c r="Y94" i="2"/>
  <c r="V95" i="2"/>
  <c r="G19" i="3" s="1"/>
  <c r="G20" i="3" s="1"/>
  <c r="AC97" i="2"/>
  <c r="AC116" i="2" s="1"/>
  <c r="AC127" i="2" s="1"/>
  <c r="S97" i="2"/>
  <c r="S116" i="2" s="1"/>
  <c r="S127" i="2" s="1"/>
  <c r="W94" i="2"/>
  <c r="H21" i="3" s="1"/>
  <c r="H22" i="3" s="1"/>
  <c r="Q97" i="2"/>
  <c r="L94" i="2"/>
  <c r="Y95" i="2"/>
  <c r="X97" i="2"/>
  <c r="L95" i="2"/>
  <c r="AD95" i="2"/>
  <c r="K94" i="2"/>
  <c r="S96" i="2"/>
  <c r="S115" i="2" s="1"/>
  <c r="S124" i="2" s="1"/>
  <c r="U95" i="2"/>
  <c r="W95" i="2"/>
  <c r="AE97" i="2"/>
  <c r="I141" i="2"/>
  <c r="X95" i="2"/>
  <c r="AB94" i="2"/>
  <c r="L97" i="2"/>
  <c r="L116" i="2" s="1"/>
  <c r="L127" i="2" s="1"/>
  <c r="K97" i="2"/>
  <c r="K116" i="2" s="1"/>
  <c r="K127" i="2" s="1"/>
  <c r="U97" i="2"/>
  <c r="U116" i="2" s="1"/>
  <c r="U127" i="2" s="1"/>
  <c r="K96" i="2"/>
  <c r="K115" i="2" s="1"/>
  <c r="K124" i="2" s="1"/>
  <c r="O95" i="2"/>
  <c r="R94" i="2"/>
  <c r="Z96" i="2"/>
  <c r="Z115" i="2" s="1"/>
  <c r="Z124" i="2" s="1"/>
  <c r="P96" i="2"/>
  <c r="P115" i="2" s="1"/>
  <c r="P124" i="2" s="1"/>
  <c r="H97" i="8"/>
  <c r="H102" i="8" s="1"/>
  <c r="H103" i="8" s="1"/>
  <c r="K97" i="8"/>
  <c r="K102" i="8" s="1"/>
  <c r="Q102" i="8"/>
  <c r="J109" i="8"/>
  <c r="O110" i="8"/>
  <c r="L95" i="8"/>
  <c r="L100" i="8" s="1"/>
  <c r="J95" i="8"/>
  <c r="J100" i="8" s="1"/>
  <c r="K110" i="8"/>
  <c r="P110" i="8"/>
  <c r="G10" i="9"/>
  <c r="G11" i="9" s="1"/>
  <c r="G12" i="9" s="1"/>
  <c r="P97" i="8"/>
  <c r="P98" i="8" s="1"/>
  <c r="H110" i="8"/>
  <c r="X110" i="8"/>
  <c r="R95" i="8"/>
  <c r="R100" i="8" s="1"/>
  <c r="D11" i="9"/>
  <c r="D12" i="9"/>
  <c r="H95" i="8"/>
  <c r="H109" i="8"/>
  <c r="V109" i="8"/>
  <c r="V95" i="8"/>
  <c r="N109" i="8"/>
  <c r="N95" i="8"/>
  <c r="N13" i="9"/>
  <c r="N12" i="9"/>
  <c r="N11" i="9"/>
  <c r="I12" i="9"/>
  <c r="I13" i="9"/>
  <c r="I11" i="9"/>
  <c r="N98" i="8"/>
  <c r="N102" i="8"/>
  <c r="N103" i="8" s="1"/>
  <c r="L110" i="8"/>
  <c r="L97" i="8"/>
  <c r="X95" i="8"/>
  <c r="X109" i="8"/>
  <c r="W109" i="8"/>
  <c r="W95" i="8"/>
  <c r="U109" i="8"/>
  <c r="U95" i="8"/>
  <c r="P109" i="8"/>
  <c r="P95" i="8"/>
  <c r="O109" i="8"/>
  <c r="O95" i="8"/>
  <c r="O102" i="8" l="1"/>
  <c r="O103" i="8" s="1"/>
  <c r="T96" i="8"/>
  <c r="X102" i="8"/>
  <c r="V102" i="8"/>
  <c r="Q100" i="8"/>
  <c r="I96" i="8"/>
  <c r="U102" i="8"/>
  <c r="T102" i="8"/>
  <c r="T103" i="8" s="1"/>
  <c r="Y101" i="2"/>
  <c r="Y102" i="2" s="1"/>
  <c r="L11" i="3"/>
  <c r="L12" i="3" s="1"/>
  <c r="R101" i="2"/>
  <c r="R106" i="2" s="1"/>
  <c r="R107" i="2" s="1"/>
  <c r="T107" i="2" s="1"/>
  <c r="G11" i="3"/>
  <c r="G12" i="3" s="1"/>
  <c r="U114" i="2"/>
  <c r="U121" i="2" s="1"/>
  <c r="G17" i="3"/>
  <c r="G18" i="3" s="1"/>
  <c r="AB101" i="2"/>
  <c r="AB106" i="2" s="1"/>
  <c r="AB107" i="2" s="1"/>
  <c r="L17" i="3"/>
  <c r="L18" i="3" s="1"/>
  <c r="W114" i="2"/>
  <c r="W121" i="2" s="1"/>
  <c r="G21" i="3"/>
  <c r="G22" i="3" s="1"/>
  <c r="B19" i="3"/>
  <c r="B20" i="3" s="1"/>
  <c r="K101" i="2"/>
  <c r="K106" i="2" s="1"/>
  <c r="K107" i="2" s="1"/>
  <c r="M107" i="2" s="1"/>
  <c r="B13" i="3"/>
  <c r="B14" i="3" s="1"/>
  <c r="B11" i="3"/>
  <c r="B12" i="3" s="1"/>
  <c r="AD101" i="2"/>
  <c r="AD106" i="2" s="1"/>
  <c r="AD107" i="2" s="1"/>
  <c r="L21" i="3"/>
  <c r="L22" i="3" s="1"/>
  <c r="L13" i="3"/>
  <c r="L14" i="3" s="1"/>
  <c r="B18" i="3"/>
  <c r="B21" i="3"/>
  <c r="B22" i="3" s="1"/>
  <c r="L101" i="2"/>
  <c r="L102" i="2" s="1"/>
  <c r="B15" i="3"/>
  <c r="B16" i="3" s="1"/>
  <c r="S114" i="2"/>
  <c r="S121" i="2" s="1"/>
  <c r="G13" i="3"/>
  <c r="G14" i="3" s="1"/>
  <c r="Z99" i="2"/>
  <c r="Z100" i="2" s="1"/>
  <c r="M13" i="3"/>
  <c r="M14" i="3" s="1"/>
  <c r="M19" i="3"/>
  <c r="M20" i="3" s="1"/>
  <c r="K99" i="2"/>
  <c r="K100" i="2" s="1"/>
  <c r="C13" i="3"/>
  <c r="C14" i="3" s="1"/>
  <c r="M16" i="3"/>
  <c r="M17" i="3"/>
  <c r="M18" i="3" s="1"/>
  <c r="R99" i="2"/>
  <c r="R100" i="2" s="1"/>
  <c r="H11" i="3"/>
  <c r="H12" i="3" s="1"/>
  <c r="Y99" i="2"/>
  <c r="Y100" i="2" s="1"/>
  <c r="M11" i="3"/>
  <c r="M12" i="3" s="1"/>
  <c r="L99" i="2"/>
  <c r="L104" i="2" s="1"/>
  <c r="C15" i="3"/>
  <c r="C16" i="3" s="1"/>
  <c r="P113" i="2"/>
  <c r="P118" i="2" s="1"/>
  <c r="C23" i="3"/>
  <c r="C24" i="3" s="1"/>
  <c r="J113" i="2"/>
  <c r="J118" i="2" s="1"/>
  <c r="C11" i="3"/>
  <c r="C12" i="3" s="1"/>
  <c r="N113" i="2"/>
  <c r="N118" i="2" s="1"/>
  <c r="C19" i="3"/>
  <c r="C20" i="3" s="1"/>
  <c r="V99" i="2"/>
  <c r="V104" i="2" s="1"/>
  <c r="H19" i="3"/>
  <c r="H20" i="3" s="1"/>
  <c r="S99" i="2"/>
  <c r="S104" i="2" s="1"/>
  <c r="H13" i="3"/>
  <c r="H14" i="3" s="1"/>
  <c r="AD113" i="2"/>
  <c r="AD118" i="2" s="1"/>
  <c r="M21" i="3"/>
  <c r="M22" i="3" s="1"/>
  <c r="O99" i="2"/>
  <c r="O100" i="2" s="1"/>
  <c r="C21" i="3"/>
  <c r="C22" i="3" s="1"/>
  <c r="U99" i="2"/>
  <c r="U104" i="2" s="1"/>
  <c r="AB114" i="2"/>
  <c r="AB121" i="2" s="1"/>
  <c r="L20" i="3"/>
  <c r="P102" i="8"/>
  <c r="I103" i="8"/>
  <c r="J103" i="8" s="1"/>
  <c r="K103" i="8" s="1"/>
  <c r="O113" i="2"/>
  <c r="O118" i="2" s="1"/>
  <c r="S101" i="2"/>
  <c r="S102" i="2" s="1"/>
  <c r="N114" i="2"/>
  <c r="N121" i="2" s="1"/>
  <c r="H98" i="8"/>
  <c r="W98" i="8"/>
  <c r="R102" i="8"/>
  <c r="P99" i="2"/>
  <c r="P104" i="2" s="1"/>
  <c r="N99" i="2"/>
  <c r="N100" i="2" s="1"/>
  <c r="AC113" i="2"/>
  <c r="AC118" i="2" s="1"/>
  <c r="K98" i="8"/>
  <c r="V113" i="2"/>
  <c r="V118" i="2" s="1"/>
  <c r="AC101" i="2"/>
  <c r="AC106" i="2" s="1"/>
  <c r="AC107" i="2" s="1"/>
  <c r="Z101" i="2"/>
  <c r="Z106" i="2" s="1"/>
  <c r="Z107" i="2" s="1"/>
  <c r="U113" i="2"/>
  <c r="U118" i="2" s="1"/>
  <c r="R114" i="2"/>
  <c r="R121" i="2" s="1"/>
  <c r="J99" i="2"/>
  <c r="J100" i="2" s="1"/>
  <c r="AC114" i="2"/>
  <c r="AC121" i="2" s="1"/>
  <c r="P114" i="2"/>
  <c r="P121" i="2" s="1"/>
  <c r="K114" i="2"/>
  <c r="K121" i="2" s="1"/>
  <c r="J114" i="2"/>
  <c r="J121" i="2" s="1"/>
  <c r="J101" i="2"/>
  <c r="J102" i="2" s="1"/>
  <c r="S113" i="2"/>
  <c r="S118" i="2" s="1"/>
  <c r="P101" i="2"/>
  <c r="P106" i="2" s="1"/>
  <c r="W113" i="2"/>
  <c r="W118" i="2" s="1"/>
  <c r="W99" i="2"/>
  <c r="W104" i="2" s="1"/>
  <c r="V101" i="2"/>
  <c r="V102" i="2" s="1"/>
  <c r="Z114" i="2"/>
  <c r="Z121" i="2" s="1"/>
  <c r="L114" i="2"/>
  <c r="L121" i="2" s="1"/>
  <c r="R125" i="2"/>
  <c r="F11" i="2" s="1"/>
  <c r="AD114" i="2"/>
  <c r="AD121" i="2" s="1"/>
  <c r="U101" i="2"/>
  <c r="U106" i="2" s="1"/>
  <c r="W101" i="2"/>
  <c r="W106" i="2" s="1"/>
  <c r="AD99" i="2"/>
  <c r="AD100" i="2" s="1"/>
  <c r="AC99" i="2"/>
  <c r="AC100" i="2" s="1"/>
  <c r="V114" i="2"/>
  <c r="V121" i="2" s="1"/>
  <c r="Y128" i="2"/>
  <c r="G10" i="2" s="1"/>
  <c r="AB113" i="2"/>
  <c r="AB118" i="2" s="1"/>
  <c r="L16" i="3"/>
  <c r="AB99" i="2"/>
  <c r="AB104" i="2" s="1"/>
  <c r="AB105" i="2" s="1"/>
  <c r="Y125" i="2"/>
  <c r="G11" i="2" s="1"/>
  <c r="J128" i="2"/>
  <c r="E10" i="2" s="1"/>
  <c r="J125" i="2"/>
  <c r="E11" i="2" s="1"/>
  <c r="N101" i="2"/>
  <c r="N106" i="2" s="1"/>
  <c r="O114" i="2"/>
  <c r="O121" i="2" s="1"/>
  <c r="Z113" i="2"/>
  <c r="Z118" i="2" s="1"/>
  <c r="Y114" i="2"/>
  <c r="Y121" i="2" s="1"/>
  <c r="Y113" i="2"/>
  <c r="Y118" i="2" s="1"/>
  <c r="R113" i="2"/>
  <c r="R118" i="2" s="1"/>
  <c r="R128" i="2"/>
  <c r="F10" i="2" s="1"/>
  <c r="K113" i="2"/>
  <c r="K118" i="2" s="1"/>
  <c r="L113" i="2"/>
  <c r="L118" i="2" s="1"/>
  <c r="O101" i="2"/>
  <c r="O102" i="2" s="1"/>
  <c r="J96" i="8"/>
  <c r="R96" i="8"/>
  <c r="L96" i="8"/>
  <c r="P96" i="8"/>
  <c r="P100" i="8"/>
  <c r="V96" i="8"/>
  <c r="V100" i="8"/>
  <c r="N96" i="8"/>
  <c r="N100" i="8"/>
  <c r="N101" i="8" s="1"/>
  <c r="W96" i="8"/>
  <c r="W100" i="8"/>
  <c r="X96" i="8"/>
  <c r="X100" i="8"/>
  <c r="O96" i="8"/>
  <c r="O100" i="8"/>
  <c r="U100" i="8"/>
  <c r="U101" i="8" s="1"/>
  <c r="U96" i="8"/>
  <c r="L102" i="8"/>
  <c r="L98" i="8"/>
  <c r="H96" i="8"/>
  <c r="H101" i="8"/>
  <c r="I101" i="8" s="1"/>
  <c r="J101" i="8" s="1"/>
  <c r="K101" i="8" s="1"/>
  <c r="L101" i="8" s="1"/>
  <c r="O104" i="2" l="1"/>
  <c r="S106" i="2"/>
  <c r="S107" i="2" s="1"/>
  <c r="U107" i="2" s="1"/>
  <c r="U103" i="8"/>
  <c r="V103" i="8" s="1"/>
  <c r="W103" i="8" s="1"/>
  <c r="X103" i="8" s="1"/>
  <c r="K102" i="2"/>
  <c r="K104" i="2"/>
  <c r="K105" i="2" s="1"/>
  <c r="M105" i="2" s="1"/>
  <c r="L100" i="2"/>
  <c r="P103" i="8"/>
  <c r="Q103" i="8" s="1"/>
  <c r="R103" i="8" s="1"/>
  <c r="R104" i="2"/>
  <c r="R105" i="2" s="1"/>
  <c r="T105" i="2" s="1"/>
  <c r="V100" i="2"/>
  <c r="R102" i="2"/>
  <c r="Y106" i="2"/>
  <c r="Y107" i="2" s="1"/>
  <c r="Y104" i="2"/>
  <c r="Y105" i="2" s="1"/>
  <c r="Z104" i="2"/>
  <c r="Z105" i="2" s="1"/>
  <c r="AD102" i="2"/>
  <c r="AB102" i="2"/>
  <c r="L106" i="2"/>
  <c r="S100" i="2"/>
  <c r="U100" i="2"/>
  <c r="N104" i="2"/>
  <c r="AC102" i="2"/>
  <c r="P100" i="2"/>
  <c r="J104" i="2"/>
  <c r="J105" i="2" s="1"/>
  <c r="L105" i="2" s="1"/>
  <c r="Z102" i="2"/>
  <c r="V101" i="8"/>
  <c r="W101" i="8" s="1"/>
  <c r="X101" i="8" s="1"/>
  <c r="R122" i="2"/>
  <c r="F8" i="2" s="1"/>
  <c r="W102" i="2"/>
  <c r="J106" i="2"/>
  <c r="J107" i="2" s="1"/>
  <c r="V106" i="2"/>
  <c r="R119" i="2"/>
  <c r="F9" i="2" s="1"/>
  <c r="N102" i="2"/>
  <c r="P102" i="2"/>
  <c r="AD104" i="2"/>
  <c r="AD105" i="2" s="1"/>
  <c r="J122" i="2"/>
  <c r="E8" i="2" s="1"/>
  <c r="AC104" i="2"/>
  <c r="AC105" i="2" s="1"/>
  <c r="W100" i="2"/>
  <c r="Y122" i="2"/>
  <c r="G8" i="2" s="1"/>
  <c r="O106" i="2"/>
  <c r="U102" i="2"/>
  <c r="J119" i="2"/>
  <c r="E9" i="2" s="1"/>
  <c r="Y119" i="2"/>
  <c r="G9" i="2" s="1"/>
  <c r="AB100" i="2"/>
  <c r="L103" i="8"/>
  <c r="O101" i="8"/>
  <c r="P101" i="8" s="1"/>
  <c r="Q101" i="8" s="1"/>
  <c r="R101" i="8" s="1"/>
  <c r="S105" i="2" l="1"/>
  <c r="U105" i="2" s="1"/>
  <c r="V105" i="2" s="1"/>
  <c r="W105" i="2" s="1"/>
  <c r="AA105" i="2" s="1"/>
  <c r="L107" i="2"/>
  <c r="N107" i="2" s="1"/>
  <c r="O107" i="2" s="1"/>
  <c r="P107" i="2" s="1"/>
  <c r="N105" i="2"/>
  <c r="O105" i="2" s="1"/>
  <c r="P105" i="2" s="1"/>
  <c r="V107" i="2"/>
  <c r="W107" i="2" s="1"/>
  <c r="AA107" i="2" s="1"/>
</calcChain>
</file>

<file path=xl/sharedStrings.xml><?xml version="1.0" encoding="utf-8"?>
<sst xmlns="http://schemas.openxmlformats.org/spreadsheetml/2006/main" count="521" uniqueCount="164">
  <si>
    <t>Project name:</t>
  </si>
  <si>
    <t>Powertrain:</t>
  </si>
  <si>
    <t>EE Architech:</t>
  </si>
  <si>
    <t>Application zone:</t>
  </si>
  <si>
    <t>Sl.No</t>
  </si>
  <si>
    <t>Date</t>
  </si>
  <si>
    <t xml:space="preserve">Update Information </t>
  </si>
  <si>
    <t>Milestone</t>
  </si>
  <si>
    <t>Person name</t>
  </si>
  <si>
    <t>initialisation mise a jour des Profils et des taux d'usage</t>
  </si>
  <si>
    <t>B. Chiovetta</t>
  </si>
  <si>
    <t>Mise a jour profil conso blower  + sièges chauffants  + volant chuaffants</t>
  </si>
  <si>
    <t>P,Daugeron</t>
  </si>
  <si>
    <r>
      <rPr>
        <sz val="28"/>
        <color indexed="51"/>
        <rFont val="Impact"/>
        <family val="2"/>
      </rPr>
      <t xml:space="preserve">DC - DC Sizing </t>
    </r>
    <r>
      <rPr>
        <sz val="28"/>
        <rFont val="Impact"/>
        <family val="2"/>
      </rPr>
      <t xml:space="preserve">
Charge balance tool</t>
    </r>
  </si>
  <si>
    <t>Date:</t>
  </si>
  <si>
    <t>Pilot wattman:</t>
  </si>
  <si>
    <t xml:space="preserve">Electrical load usage rate (in %) for 30mints drive  </t>
  </si>
  <si>
    <t xml:space="preserve">Commentaire </t>
  </si>
  <si>
    <t>List of equipements</t>
  </si>
  <si>
    <t>Variants</t>
  </si>
  <si>
    <t>Conso Elec (A)</t>
  </si>
  <si>
    <t xml:space="preserve">Profile : Winter
&lt;-5°C </t>
  </si>
  <si>
    <t>Conso Instantatnée MAX</t>
  </si>
  <si>
    <t xml:space="preserve">Profile : Mid-season
5°C&lt;15°C </t>
  </si>
  <si>
    <t xml:space="preserve">Profile :Summer T&gt;15°C </t>
  </si>
  <si>
    <r>
      <t xml:space="preserve">Base
</t>
    </r>
    <r>
      <rPr>
        <sz val="9"/>
        <color rgb="FF000000"/>
        <rFont val="Arial"/>
        <family val="2"/>
      </rPr>
      <t>Mettre 1 ou 0</t>
    </r>
  </si>
  <si>
    <r>
      <t xml:space="preserve">Upper
</t>
    </r>
    <r>
      <rPr>
        <sz val="9"/>
        <color rgb="FF000000"/>
        <rFont val="Arial"/>
        <family val="2"/>
      </rPr>
      <t>Mettre 1 ou 0</t>
    </r>
  </si>
  <si>
    <t>0 - 5mints</t>
  </si>
  <si>
    <t>5 - 10mints</t>
  </si>
  <si>
    <t>10 - 15mints</t>
  </si>
  <si>
    <t>15 - 25mints</t>
  </si>
  <si>
    <t>25 - 30mints</t>
  </si>
  <si>
    <t>ECLAIRAGES</t>
  </si>
  <si>
    <t>FEUX DE POSITION AV</t>
  </si>
  <si>
    <r>
      <t>FEUX DE POSITION AR ET DE PLAQUE /</t>
    </r>
    <r>
      <rPr>
        <sz val="8"/>
        <color indexed="40"/>
        <rFont val="Arial"/>
        <family val="2"/>
      </rPr>
      <t xml:space="preserve"> POSITION AND PLATE LAMPS</t>
    </r>
  </si>
  <si>
    <r>
      <t xml:space="preserve">ECLAIRAGE TABLEAU DE BORD SXS EV  / </t>
    </r>
    <r>
      <rPr>
        <sz val="8"/>
        <color indexed="40"/>
        <rFont val="Arial"/>
        <family val="2"/>
      </rPr>
      <t xml:space="preserve">LIGHTS INSTRUMENT PANEL </t>
    </r>
  </si>
  <si>
    <r>
      <t xml:space="preserve">INTERRUPTEURS VOYANTS DE NUIT / </t>
    </r>
    <r>
      <rPr>
        <sz val="8"/>
        <color indexed="40"/>
        <rFont val="Arial"/>
        <family val="2"/>
      </rPr>
      <t>NIGHT LEDS SWITCHES</t>
    </r>
  </si>
  <si>
    <t>DRL</t>
  </si>
  <si>
    <t>LOGO + CROSSING LIGHTING</t>
  </si>
  <si>
    <r>
      <t xml:space="preserve">FEUX DE BROUILLARD AVANT (x2) / </t>
    </r>
    <r>
      <rPr>
        <sz val="8"/>
        <color indexed="40"/>
        <rFont val="Arial"/>
        <family val="2"/>
      </rPr>
      <t>FRONT FOG LIGHTS (x2)</t>
    </r>
  </si>
  <si>
    <r>
      <t>FEUX DE BROUILLARD ARRIERE Edg /</t>
    </r>
    <r>
      <rPr>
        <sz val="8"/>
        <color indexed="40"/>
        <rFont val="Arial"/>
        <family val="2"/>
      </rPr>
      <t xml:space="preserve"> REAR FOG LAMPS Edg</t>
    </r>
  </si>
  <si>
    <r>
      <t xml:space="preserve">FEUX DE BROUILLARD ARRIERE Hdg / </t>
    </r>
    <r>
      <rPr>
        <sz val="8"/>
        <color indexed="40"/>
        <rFont val="Arial"/>
        <family val="2"/>
      </rPr>
      <t>REAR FOG LAMPS Hdg</t>
    </r>
  </si>
  <si>
    <r>
      <t xml:space="preserve">FEUX INDICATEURS DE DIRECTION / </t>
    </r>
    <r>
      <rPr>
        <sz val="8"/>
        <color indexed="40"/>
        <rFont val="Arial"/>
        <family val="2"/>
      </rPr>
      <t>DIRECTION Indication lamp</t>
    </r>
  </si>
  <si>
    <r>
      <t>FEUX DE STOP - Edg /</t>
    </r>
    <r>
      <rPr>
        <sz val="8"/>
        <color indexed="40"/>
        <rFont val="Arial"/>
        <family val="2"/>
      </rPr>
      <t xml:space="preserve"> STOP lamp Edg</t>
    </r>
  </si>
  <si>
    <r>
      <t>FEUX DE STOP - Hdg /</t>
    </r>
    <r>
      <rPr>
        <sz val="8"/>
        <color indexed="40"/>
        <rFont val="Arial"/>
        <family val="2"/>
      </rPr>
      <t xml:space="preserve"> STOP lamp Hdg</t>
    </r>
  </si>
  <si>
    <r>
      <t xml:space="preserve">FEUX DE CROISEMENT Edg / </t>
    </r>
    <r>
      <rPr>
        <sz val="8"/>
        <color indexed="40"/>
        <rFont val="Arial"/>
        <family val="2"/>
      </rPr>
      <t>Low beam lamp</t>
    </r>
  </si>
  <si>
    <r>
      <t xml:space="preserve">FEUX DE CROISEMENT Hdg / </t>
    </r>
    <r>
      <rPr>
        <sz val="8"/>
        <color indexed="40"/>
        <rFont val="Arial"/>
        <family val="2"/>
      </rPr>
      <t>Low beam lamp</t>
    </r>
  </si>
  <si>
    <r>
      <t xml:space="preserve">FEUX DE ROUTE Edg / </t>
    </r>
    <r>
      <rPr>
        <sz val="8"/>
        <color indexed="40"/>
        <rFont val="Arial"/>
        <family val="2"/>
      </rPr>
      <t>High beam lamp</t>
    </r>
  </si>
  <si>
    <r>
      <t xml:space="preserve">FEUX DE ROUTE Hdg  / </t>
    </r>
    <r>
      <rPr>
        <sz val="8"/>
        <color indexed="40"/>
        <rFont val="Arial"/>
        <family val="2"/>
      </rPr>
      <t>High beam lamp</t>
    </r>
  </si>
  <si>
    <t>VISIBILITE</t>
  </si>
  <si>
    <r>
      <t xml:space="preserve">LUNETTE DEGIVRANTE / </t>
    </r>
    <r>
      <rPr>
        <sz val="8"/>
        <color indexed="40"/>
        <rFont val="Arial"/>
        <family val="2"/>
      </rPr>
      <t>Rear Defroster</t>
    </r>
  </si>
  <si>
    <r>
      <t>RETROVISEUR DEGIVRANT (x2) /</t>
    </r>
    <r>
      <rPr>
        <sz val="8"/>
        <color indexed="40"/>
        <rFont val="Arial"/>
        <family val="2"/>
      </rPr>
      <t xml:space="preserve"> Heated Mirror Defroster</t>
    </r>
  </si>
  <si>
    <r>
      <t>PAREBRISE CHAUFFANT /</t>
    </r>
    <r>
      <rPr>
        <sz val="8"/>
        <color indexed="40"/>
        <rFont val="Arial"/>
        <family val="2"/>
      </rPr>
      <t xml:space="preserve"> Heated windscreen</t>
    </r>
  </si>
  <si>
    <r>
      <t xml:space="preserve">ESSUIE VITRE AVANT / </t>
    </r>
    <r>
      <rPr>
        <sz val="8"/>
        <color indexed="40"/>
        <rFont val="Arial"/>
        <family val="2"/>
      </rPr>
      <t>FRONT WINDOW WIPER</t>
    </r>
    <r>
      <rPr>
        <sz val="8"/>
        <color indexed="8"/>
        <rFont val="Arial"/>
        <family val="2"/>
      </rPr>
      <t xml:space="preserve">
</t>
    </r>
    <r>
      <rPr>
        <b/>
        <sz val="8"/>
        <color indexed="10"/>
        <rFont val="Arial"/>
        <family val="2"/>
      </rPr>
      <t>No activated if Heated windscreen is ON</t>
    </r>
  </si>
  <si>
    <r>
      <t>ESSUIE VITRE ARRIERE /</t>
    </r>
    <r>
      <rPr>
        <sz val="8"/>
        <color indexed="40"/>
        <rFont val="Arial"/>
        <family val="2"/>
      </rPr>
      <t xml:space="preserve"> REAR WINDOW WIPER</t>
    </r>
  </si>
  <si>
    <t>CONFORT COCKPIT</t>
  </si>
  <si>
    <r>
      <t xml:space="preserve">GMV </t>
    </r>
    <r>
      <rPr>
        <b/>
        <sz val="8"/>
        <color indexed="8"/>
        <rFont val="Arial"/>
        <family val="2"/>
      </rPr>
      <t>(HVAC)</t>
    </r>
    <r>
      <rPr>
        <sz val="8"/>
        <color indexed="8"/>
        <rFont val="Arial"/>
        <family val="2"/>
      </rPr>
      <t xml:space="preserve"> HABITACLE _HOT MODE</t>
    </r>
  </si>
  <si>
    <r>
      <t xml:space="preserve">GMV </t>
    </r>
    <r>
      <rPr>
        <b/>
        <sz val="8"/>
        <color indexed="8"/>
        <rFont val="Arial"/>
        <family val="2"/>
      </rPr>
      <t>(HVAC)</t>
    </r>
    <r>
      <rPr>
        <sz val="8"/>
        <color indexed="8"/>
        <rFont val="Arial"/>
        <family val="2"/>
      </rPr>
      <t xml:space="preserve"> HABITACLE _COLD MODE</t>
    </r>
  </si>
  <si>
    <t>COMPRESSEUR CA HV</t>
  </si>
  <si>
    <t>SIEGES CHAUFFANTS AVANTS</t>
  </si>
  <si>
    <t>SIEGES CHAUFFANTS ARRIERES</t>
  </si>
  <si>
    <t xml:space="preserve">Volant chauffant </t>
  </si>
  <si>
    <t>CTP sur 12V</t>
  </si>
  <si>
    <t>EV ELECTROVANNE</t>
  </si>
  <si>
    <r>
      <t xml:space="preserve">POMPE A CHALEUR  / </t>
    </r>
    <r>
      <rPr>
        <sz val="8"/>
        <color indexed="40"/>
        <rFont val="Arial"/>
        <family val="2"/>
      </rPr>
      <t>HEAT PUMP</t>
    </r>
    <r>
      <rPr>
        <sz val="8"/>
        <color indexed="8"/>
        <rFont val="Arial"/>
        <family val="2"/>
      </rPr>
      <t xml:space="preserve"> </t>
    </r>
    <r>
      <rPr>
        <sz val="8"/>
        <color indexed="10"/>
        <rFont val="Arial"/>
        <family val="2"/>
      </rPr>
      <t>(hot and cold function)</t>
    </r>
  </si>
  <si>
    <t>GMP / Refroi / BV / Gestion Batterie HV</t>
  </si>
  <si>
    <r>
      <t xml:space="preserve">PEC MODULE CONTROLE ELECTRIQUE </t>
    </r>
    <r>
      <rPr>
        <b/>
        <u/>
        <sz val="8"/>
        <color indexed="8"/>
        <rFont val="Tahoma"/>
        <family val="2"/>
      </rPr>
      <t/>
    </r>
  </si>
  <si>
    <t>EV (ELECTROVANNE) x ways</t>
  </si>
  <si>
    <t>ABS+AFU+ESP+ASR</t>
  </si>
  <si>
    <t>POMPE A VIDE DE FREINAGE / BRAKE VACUUM PUMP</t>
  </si>
  <si>
    <t xml:space="preserve">DIRECTION ASSISTEE ELECTRIQUE ROUES DROITES </t>
  </si>
  <si>
    <t xml:space="preserve">DIRECTION ASSISTEE ELECTRIQUE ROUES EN MOUVEMENT </t>
  </si>
  <si>
    <t>pompe électrique 650W  / 12 volts</t>
  </si>
  <si>
    <t xml:space="preserve">EVC 
+
Gearbox </t>
  </si>
  <si>
    <r>
      <t xml:space="preserve">Injection HECM
</t>
    </r>
    <r>
      <rPr>
        <i/>
        <sz val="8"/>
        <rFont val="Tahoma"/>
        <family val="2"/>
      </rPr>
      <t>Nominale -Engine ON</t>
    </r>
  </si>
  <si>
    <r>
      <t xml:space="preserve">Injection HECM 
</t>
    </r>
    <r>
      <rPr>
        <i/>
        <sz val="8"/>
        <rFont val="Tahoma"/>
        <family val="2"/>
      </rPr>
      <t>Stand By</t>
    </r>
  </si>
  <si>
    <t>INJECTION ICE</t>
  </si>
  <si>
    <t>Pompe à Huile</t>
  </si>
  <si>
    <t>Pompe Carburant</t>
  </si>
  <si>
    <r>
      <t>GMV REFROIDISSEMENT</t>
    </r>
    <r>
      <rPr>
        <b/>
        <sz val="8"/>
        <rFont val="Arial"/>
        <family val="2"/>
      </rPr>
      <t xml:space="preserve"> Face avant</t>
    </r>
    <r>
      <rPr>
        <sz val="8"/>
        <rFont val="Arial"/>
        <family val="2"/>
      </rPr>
      <t xml:space="preserve"> / Motor cooling F</t>
    </r>
  </si>
  <si>
    <t>TAKE INTO ACCOUNT THE OPERATION OF HEAT PUMP, COOLING (ENGINE,BATTERY, OTHER…..)</t>
  </si>
  <si>
    <r>
      <t xml:space="preserve">GMV REFROIDISSEMENT Face avant / Motor cooling Fan </t>
    </r>
    <r>
      <rPr>
        <b/>
        <sz val="8"/>
        <rFont val="Arial"/>
        <family val="2"/>
      </rPr>
      <t>V1</t>
    </r>
  </si>
  <si>
    <r>
      <t xml:space="preserve">GMV REFROIDISSEMENT Face avant / Motor cooling Fan </t>
    </r>
    <r>
      <rPr>
        <b/>
        <sz val="8"/>
        <rFont val="Arial"/>
        <family val="2"/>
      </rPr>
      <t>V2</t>
    </r>
  </si>
  <si>
    <r>
      <t xml:space="preserve">GMV REFROIDISSEMENT Face avant / Motor cooling Fan </t>
    </r>
    <r>
      <rPr>
        <b/>
        <sz val="8"/>
        <rFont val="Arial"/>
        <family val="2"/>
      </rPr>
      <t>V3</t>
    </r>
  </si>
  <si>
    <r>
      <t>GMV REFROIDISSEMENT Face avant / Motor cooling Fan</t>
    </r>
    <r>
      <rPr>
        <b/>
        <sz val="8"/>
        <rFont val="Arial"/>
        <family val="2"/>
      </rPr>
      <t xml:space="preserve"> V4</t>
    </r>
  </si>
  <si>
    <r>
      <t xml:space="preserve">GMV REFROIDISSEMENT Face avant / Motor cooling Fan </t>
    </r>
    <r>
      <rPr>
        <b/>
        <sz val="8"/>
        <rFont val="Arial"/>
        <family val="2"/>
      </rPr>
      <t>V5</t>
    </r>
  </si>
  <si>
    <t>DIVERS</t>
  </si>
  <si>
    <t>CONSOMMATION PERMANENTE Edg</t>
  </si>
  <si>
    <t>CONSOMMATION PERMANENTE Hdg</t>
  </si>
  <si>
    <t>VSP</t>
  </si>
  <si>
    <t>Radio_Entry</t>
  </si>
  <si>
    <t>MM2012/ A-IVI</t>
  </si>
  <si>
    <t>Ampli</t>
  </si>
  <si>
    <t>batterie recharge</t>
  </si>
  <si>
    <t>ADAPTATIONS</t>
  </si>
  <si>
    <t>Nominal Voltage</t>
  </si>
  <si>
    <t>DC-DC output current (A)</t>
  </si>
  <si>
    <t>0-15mints</t>
  </si>
  <si>
    <t>Nominal</t>
  </si>
  <si>
    <t>Cold (&lt;23°C)</t>
  </si>
  <si>
    <t>Bilan 
Courant (A)</t>
  </si>
  <si>
    <t>MAX</t>
  </si>
  <si>
    <t>Hot (&gt;35°C)</t>
  </si>
  <si>
    <t>Conso en A, en fonction de temps</t>
  </si>
  <si>
    <t>Upper</t>
  </si>
  <si>
    <t>LV BAT</t>
  </si>
  <si>
    <t>Base</t>
  </si>
  <si>
    <t xml:space="preserve">Difference in Ampere (DCDCoutput - Veh.load) </t>
  </si>
  <si>
    <t>Difference in Ampere/hour</t>
  </si>
  <si>
    <t>Charge acceptance current by BAT @ Hot temp (A)</t>
  </si>
  <si>
    <t>Charge acceptance current by BAT @ Mid-seasson (A)</t>
  </si>
  <si>
    <t>Charge acceptance or discharge current(A)</t>
  </si>
  <si>
    <t>Charge acceptance current by BAT @ Very cold (A)</t>
  </si>
  <si>
    <t>Charge/discharge Balance(Ah)</t>
  </si>
  <si>
    <t>Charge acceptance /discharge current(A)</t>
  </si>
  <si>
    <t>Guide line for BAT charge acceptance current selection</t>
  </si>
  <si>
    <t>Charge acceptance
Current (A)</t>
  </si>
  <si>
    <t xml:space="preserve">Flooded </t>
  </si>
  <si>
    <t>EFB</t>
  </si>
  <si>
    <t>Hot temp</t>
  </si>
  <si>
    <t>Mid-seasson</t>
  </si>
  <si>
    <t>Bilan 
Puissance (W)</t>
  </si>
  <si>
    <t>Very Cold</t>
  </si>
  <si>
    <t>Winter
&lt;-5°C</t>
  </si>
  <si>
    <t>Mid-season
5°C&lt;T&lt;15</t>
  </si>
  <si>
    <t>Summer
T&gt;15°C</t>
  </si>
  <si>
    <t>Time (Mint)</t>
  </si>
  <si>
    <r>
      <t xml:space="preserve">Base
</t>
    </r>
    <r>
      <rPr>
        <sz val="10"/>
        <rFont val="Arial"/>
        <family val="2"/>
      </rPr>
      <t>Vehicle global conso (A)</t>
    </r>
  </si>
  <si>
    <r>
      <t xml:space="preserve">Upper
</t>
    </r>
    <r>
      <rPr>
        <sz val="10"/>
        <rFont val="Arial"/>
        <family val="2"/>
      </rPr>
      <t>Vehicle global conso (A)</t>
    </r>
  </si>
  <si>
    <t>DCDC output</t>
  </si>
  <si>
    <t xml:space="preserve">ELECTRIQUE </t>
  </si>
  <si>
    <t>WLTC  - 7°C  tool</t>
  </si>
  <si>
    <t>WLTC - 7°C     Prognosis (W)</t>
  </si>
  <si>
    <t xml:space="preserve">Cycle 1 </t>
  </si>
  <si>
    <t>Cycle 2</t>
  </si>
  <si>
    <t>Cycle 3</t>
  </si>
  <si>
    <t xml:space="preserve">Version vh 1 </t>
  </si>
  <si>
    <t>Version vh 2</t>
  </si>
  <si>
    <t>0 - 1,67mints</t>
  </si>
  <si>
    <t>1,68 - 4mints</t>
  </si>
  <si>
    <t>4 - 7mints</t>
  </si>
  <si>
    <t>7 - 8,16mints</t>
  </si>
  <si>
    <t>8,16 - 12,25mints</t>
  </si>
  <si>
    <t>12.25 - 25mints</t>
  </si>
  <si>
    <t>5 - 7mints</t>
  </si>
  <si>
    <t>8,16 - 15mints</t>
  </si>
  <si>
    <t>422 secondes</t>
  </si>
  <si>
    <t>735s</t>
  </si>
  <si>
    <t>4 min</t>
  </si>
  <si>
    <t>moyenne sur le cycle</t>
  </si>
  <si>
    <t>490s</t>
  </si>
  <si>
    <t>*</t>
  </si>
  <si>
    <t>VAN</t>
  </si>
  <si>
    <t>L2</t>
  </si>
  <si>
    <t>60Ah</t>
  </si>
  <si>
    <t>CARGO</t>
  </si>
  <si>
    <t xml:space="preserve">Zone de test </t>
  </si>
  <si>
    <t>Conso</t>
  </si>
  <si>
    <t>w</t>
  </si>
  <si>
    <t>w/tps de cycle</t>
  </si>
  <si>
    <t>HYDROGENE</t>
  </si>
  <si>
    <r>
      <t xml:space="preserve">Base
</t>
    </r>
    <r>
      <rPr>
        <sz val="11"/>
        <color theme="1"/>
        <rFont val="Aptos Narrow"/>
        <family val="2"/>
        <scheme val="minor"/>
      </rPr>
      <t>Vehicle global conso (A)</t>
    </r>
  </si>
  <si>
    <r>
      <t xml:space="preserve">Upper
</t>
    </r>
    <r>
      <rPr>
        <sz val="11"/>
        <color theme="1"/>
        <rFont val="Aptos Narrow"/>
        <family val="2"/>
        <scheme val="minor"/>
      </rPr>
      <t>Vehicle global conso (A)</t>
    </r>
  </si>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</sst>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V"/>
    <numFmt numFmtId="166" formatCode="0.0\ \W"/>
    <numFmt numFmtId="167" formatCode="0.0\ \A"/>
    <numFmt numFmtId="168" formatCode="0.0\ \A\h"/>
  </numFmts>
  <fonts count="49" x14ac:knownFonts="1">
    <font>
      <sz val="11"/>
      <color theme="1"/>
      <name val="Aptos Narrow"/>
      <family val="2"/>
      <scheme val="minor"/>
    </font>
    <font>
      <b/>
      <sz val="11"/>
      <color theme="1"/>
      <name val="Aptos Narrow"/>
      <family val="2"/>
      <scheme val="minor"/>
    </font>
    <font>
      <sz val="10"/>
      <name val="Arial"/>
      <family val="2"/>
    </font>
    <font>
      <sz val="8"/>
      <name val="Arial"/>
      <family val="2"/>
    </font>
    <font>
      <sz val="9"/>
      <name val="Arial"/>
      <family val="2"/>
    </font>
    <font>
      <b/>
      <sz val="10"/>
      <name val="Arial"/>
      <family val="2"/>
    </font>
    <font>
      <sz val="28"/>
      <name val="Impact"/>
      <family val="2"/>
    </font>
    <font>
      <b/>
      <sz val="8"/>
      <name val="Arial"/>
      <family val="2"/>
    </font>
    <font>
      <b/>
      <sz val="11"/>
      <name val="Arial"/>
      <family val="2"/>
    </font>
    <font>
      <b/>
      <sz val="14"/>
      <color theme="1"/>
      <name val="Aptos Narrow"/>
      <family val="2"/>
      <scheme val="minor"/>
    </font>
    <font>
      <b/>
      <sz val="12"/>
      <color theme="1"/>
      <name val="Arial"/>
      <family val="2"/>
    </font>
    <font>
      <b/>
      <sz val="14"/>
      <name val="Arial"/>
      <family val="2"/>
    </font>
    <font>
      <sz val="8"/>
      <name val="Tahoma"/>
      <family val="2"/>
    </font>
    <font>
      <b/>
      <sz val="9"/>
      <color indexed="10"/>
      <name val="Arial"/>
      <family val="2"/>
    </font>
    <font>
      <b/>
      <sz val="11"/>
      <color theme="1"/>
      <name val="Arial"/>
      <family val="2"/>
    </font>
    <font>
      <b/>
      <sz val="10"/>
      <color theme="1"/>
      <name val="Arial"/>
      <family val="2"/>
    </font>
    <font>
      <b/>
      <sz val="9"/>
      <color rgb="FFFF0000"/>
      <name val="Arial"/>
      <family val="2"/>
    </font>
    <font>
      <b/>
      <sz val="10"/>
      <color indexed="8"/>
      <name val="Arial"/>
      <family val="2"/>
    </font>
    <font>
      <b/>
      <sz val="8"/>
      <color rgb="FF003300"/>
      <name val="Arial"/>
      <family val="2"/>
    </font>
    <font>
      <b/>
      <sz val="9"/>
      <color rgb="FF003300"/>
      <name val="Arial"/>
      <family val="2"/>
    </font>
    <font>
      <b/>
      <sz val="8"/>
      <color rgb="FF000099"/>
      <name val="Arial"/>
      <family val="2"/>
    </font>
    <font>
      <b/>
      <sz val="9"/>
      <color indexed="8"/>
      <name val="Arial"/>
      <family val="2"/>
    </font>
    <font>
      <b/>
      <sz val="9"/>
      <color theme="1"/>
      <name val="Arial"/>
      <family val="2"/>
    </font>
    <font>
      <sz val="8"/>
      <color indexed="8"/>
      <name val="Arial"/>
      <family val="2"/>
    </font>
    <font>
      <b/>
      <sz val="9"/>
      <color rgb="FF0070C0"/>
      <name val="Arial"/>
      <family val="2"/>
    </font>
    <font>
      <b/>
      <sz val="9"/>
      <color rgb="FF00B0F0"/>
      <name val="Arial"/>
      <family val="2"/>
    </font>
    <font>
      <sz val="8"/>
      <color indexed="40"/>
      <name val="Arial"/>
      <family val="2"/>
    </font>
    <font>
      <b/>
      <sz val="9"/>
      <name val="Arial"/>
      <family val="2"/>
    </font>
    <font>
      <b/>
      <sz val="8"/>
      <color indexed="8"/>
      <name val="Arial"/>
      <family val="2"/>
    </font>
    <font>
      <b/>
      <u/>
      <sz val="8"/>
      <color indexed="8"/>
      <name val="Tahoma"/>
      <family val="2"/>
    </font>
    <font>
      <b/>
      <sz val="8"/>
      <color rgb="FFFF0000"/>
      <name val="Arial"/>
      <family val="2"/>
    </font>
    <font>
      <b/>
      <sz val="8"/>
      <name val="Tahoma"/>
      <family val="2"/>
    </font>
    <font>
      <b/>
      <sz val="9"/>
      <color rgb="FF000080"/>
      <name val="Arial"/>
      <family val="2"/>
    </font>
    <font>
      <sz val="9"/>
      <color indexed="8"/>
      <name val="Arial"/>
      <family val="2"/>
    </font>
    <font>
      <b/>
      <sz val="8"/>
      <color indexed="8"/>
      <name val="Tahoma"/>
      <family val="2"/>
    </font>
    <font>
      <b/>
      <sz val="8"/>
      <color indexed="10"/>
      <name val="Tahoma"/>
      <family val="2"/>
    </font>
    <font>
      <b/>
      <sz val="9"/>
      <color indexed="12"/>
      <name val="Arial"/>
      <family val="2"/>
    </font>
    <font>
      <b/>
      <sz val="8"/>
      <color indexed="12"/>
      <name val="Tahoma"/>
      <family val="2"/>
    </font>
    <font>
      <sz val="12"/>
      <color rgb="FFFF0000"/>
      <name val="Arial"/>
      <family val="2"/>
    </font>
    <font>
      <sz val="10"/>
      <name val="Aptos Narrow"/>
      <family val="2"/>
      <scheme val="minor"/>
    </font>
    <font>
      <b/>
      <sz val="10"/>
      <name val="Aptos Narrow"/>
      <family val="2"/>
      <scheme val="minor"/>
    </font>
    <font>
      <b/>
      <sz val="9"/>
      <name val="Aptos Narrow"/>
      <family val="2"/>
      <scheme val="minor"/>
    </font>
    <font>
      <sz val="28"/>
      <color indexed="51"/>
      <name val="Impact"/>
      <family val="2"/>
    </font>
    <font>
      <sz val="9"/>
      <color rgb="FF000000"/>
      <name val="Arial"/>
      <family val="2"/>
    </font>
    <font>
      <b/>
      <sz val="8"/>
      <color indexed="10"/>
      <name val="Arial"/>
      <family val="2"/>
    </font>
    <font>
      <sz val="8"/>
      <color indexed="10"/>
      <name val="Arial"/>
      <family val="2"/>
    </font>
    <font>
      <i/>
      <sz val="8"/>
      <name val="Tahoma"/>
      <family val="2"/>
    </font>
    <font>
      <b/>
      <sz val="8"/>
      <color theme="1"/>
      <name val="Arial"/>
      <family val="2"/>
    </font>
    <font>
      <b/>
      <sz val="8"/>
      <name val="Arial"/>
      <family val="2"/>
    </font>
  </fonts>
  <fills count="21">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33CCFF"/>
        <bgColor indexed="64"/>
      </patternFill>
    </fill>
    <fill>
      <patternFill patternType="solid">
        <fgColor rgb="FFFFCC00"/>
        <bgColor indexed="64"/>
      </patternFill>
    </fill>
    <fill>
      <patternFill patternType="solid">
        <fgColor rgb="FFFF0000"/>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E038D4"/>
        <bgColor indexed="64"/>
      </patternFill>
    </fill>
    <fill>
      <patternFill patternType="solid">
        <fgColor rgb="FF00FF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s>
  <cellStyleXfs count="2">
    <xf numFmtId="0" fontId="0" fillId="0" borderId="0"/>
    <xf numFmtId="0" fontId="2" fillId="0" borderId="0"/>
  </cellStyleXfs>
  <cellXfs count="404">
    <xf numFmtId="0" fontId="0" fillId="0" borderId="0" xfId="0"/>
    <xf numFmtId="0" fontId="3" fillId="0" borderId="0" xfId="1" applyFont="1" applyAlignment="1">
      <alignment horizontal="left"/>
    </xf>
    <xf numFmtId="0" fontId="4" fillId="0" borderId="0" xfId="1" applyFont="1" applyAlignment="1">
      <alignment horizontal="left"/>
    </xf>
    <xf numFmtId="2" fontId="4" fillId="0" borderId="0" xfId="1" applyNumberFormat="1" applyFont="1" applyAlignment="1">
      <alignment horizontal="center"/>
    </xf>
    <xf numFmtId="2" fontId="3" fillId="0" borderId="0" xfId="1" applyNumberFormat="1" applyFont="1" applyAlignment="1">
      <alignment horizontal="center"/>
    </xf>
    <xf numFmtId="0" fontId="5" fillId="2" borderId="1" xfId="1" applyFont="1" applyFill="1" applyBorder="1" applyAlignment="1">
      <alignment horizontal="center" vertical="center"/>
    </xf>
    <xf numFmtId="2" fontId="7" fillId="0" borderId="0" xfId="1" applyNumberFormat="1" applyFont="1" applyAlignment="1">
      <alignment horizontal="center"/>
    </xf>
    <xf numFmtId="0" fontId="5" fillId="4" borderId="5" xfId="1" applyFont="1" applyFill="1" applyBorder="1" applyAlignment="1">
      <alignment horizontal="left"/>
    </xf>
    <xf numFmtId="0" fontId="8" fillId="0" borderId="6" xfId="1" applyFont="1" applyBorder="1" applyAlignment="1">
      <alignment horizontal="center" vertical="center"/>
    </xf>
    <xf numFmtId="0" fontId="5" fillId="4" borderId="9" xfId="1" applyFont="1" applyFill="1" applyBorder="1" applyAlignment="1">
      <alignment horizontal="left" vertical="center"/>
    </xf>
    <xf numFmtId="14" fontId="4" fillId="0" borderId="10" xfId="1" applyNumberFormat="1" applyFont="1" applyBorder="1" applyAlignment="1">
      <alignment horizontal="center" vertical="center"/>
    </xf>
    <xf numFmtId="0" fontId="5" fillId="4" borderId="11" xfId="1" applyFont="1" applyFill="1" applyBorder="1" applyAlignment="1">
      <alignment horizontal="left"/>
    </xf>
    <xf numFmtId="0" fontId="2" fillId="0" borderId="12" xfId="1" applyBorder="1" applyAlignment="1">
      <alignment horizontal="center"/>
    </xf>
    <xf numFmtId="0" fontId="4" fillId="0" borderId="0" xfId="1" applyFont="1" applyAlignment="1">
      <alignment vertical="center"/>
    </xf>
    <xf numFmtId="0" fontId="4" fillId="0" borderId="0" xfId="1" applyFont="1"/>
    <xf numFmtId="1" fontId="10" fillId="6" borderId="19" xfId="1" applyNumberFormat="1" applyFont="1" applyFill="1" applyBorder="1" applyAlignment="1">
      <alignment horizontal="center" vertical="center"/>
    </xf>
    <xf numFmtId="1" fontId="10" fillId="7" borderId="20" xfId="1" applyNumberFormat="1" applyFont="1" applyFill="1" applyBorder="1" applyAlignment="1">
      <alignment horizontal="center" vertical="center"/>
    </xf>
    <xf numFmtId="1" fontId="10" fillId="8" borderId="21" xfId="1" applyNumberFormat="1" applyFont="1" applyFill="1" applyBorder="1" applyAlignment="1">
      <alignment horizontal="center" vertical="center"/>
    </xf>
    <xf numFmtId="1" fontId="11" fillId="6" borderId="23" xfId="1" applyNumberFormat="1" applyFont="1" applyFill="1" applyBorder="1" applyAlignment="1">
      <alignment horizontal="center" vertical="center"/>
    </xf>
    <xf numFmtId="1" fontId="11" fillId="7" borderId="23" xfId="1" applyNumberFormat="1" applyFont="1" applyFill="1" applyBorder="1" applyAlignment="1">
      <alignment horizontal="center" vertical="center"/>
    </xf>
    <xf numFmtId="1" fontId="11" fillId="8" borderId="24" xfId="1" applyNumberFormat="1" applyFont="1" applyFill="1" applyBorder="1" applyAlignment="1">
      <alignment horizontal="center" vertical="center"/>
    </xf>
    <xf numFmtId="1" fontId="11" fillId="6" borderId="1" xfId="1" applyNumberFormat="1" applyFont="1" applyFill="1" applyBorder="1" applyAlignment="1">
      <alignment horizontal="center" vertical="center"/>
    </xf>
    <xf numFmtId="1" fontId="11" fillId="7" borderId="1" xfId="1" applyNumberFormat="1" applyFont="1" applyFill="1" applyBorder="1" applyAlignment="1">
      <alignment horizontal="center" vertical="center"/>
    </xf>
    <xf numFmtId="1" fontId="11" fillId="8" borderId="10" xfId="1" applyNumberFormat="1" applyFont="1" applyFill="1" applyBorder="1" applyAlignment="1">
      <alignment horizontal="center" vertical="center"/>
    </xf>
    <xf numFmtId="0" fontId="3" fillId="0" borderId="0" xfId="1" applyFont="1" applyAlignment="1">
      <alignment horizontal="left" vertical="center"/>
    </xf>
    <xf numFmtId="2" fontId="13" fillId="0" borderId="0" xfId="1" applyNumberFormat="1" applyFont="1" applyAlignment="1">
      <alignment vertical="center"/>
    </xf>
    <xf numFmtId="0" fontId="17" fillId="4" borderId="32" xfId="1" applyFont="1" applyFill="1" applyBorder="1" applyAlignment="1">
      <alignment horizontal="center" vertical="center" wrapText="1"/>
    </xf>
    <xf numFmtId="0" fontId="17" fillId="4" borderId="25" xfId="1" applyFont="1" applyFill="1" applyBorder="1" applyAlignment="1">
      <alignment horizontal="center" vertical="center" wrapText="1"/>
    </xf>
    <xf numFmtId="0" fontId="21" fillId="11" borderId="29" xfId="1" applyFont="1" applyFill="1" applyBorder="1" applyAlignment="1">
      <alignment horizontal="center"/>
    </xf>
    <xf numFmtId="2" fontId="16" fillId="11" borderId="6" xfId="1" applyNumberFormat="1" applyFont="1" applyFill="1" applyBorder="1" applyAlignment="1">
      <alignment horizontal="center"/>
    </xf>
    <xf numFmtId="9" fontId="22" fillId="11" borderId="28" xfId="1" applyNumberFormat="1" applyFont="1" applyFill="1" applyBorder="1" applyAlignment="1">
      <alignment horizontal="center" vertical="center"/>
    </xf>
    <xf numFmtId="9" fontId="22" fillId="11" borderId="29" xfId="1" applyNumberFormat="1" applyFont="1" applyFill="1" applyBorder="1" applyAlignment="1">
      <alignment horizontal="center" vertical="center"/>
    </xf>
    <xf numFmtId="9" fontId="22" fillId="11" borderId="34" xfId="1" applyNumberFormat="1" applyFont="1" applyFill="1" applyBorder="1" applyAlignment="1">
      <alignment horizontal="center" vertical="center"/>
    </xf>
    <xf numFmtId="0" fontId="3" fillId="11" borderId="35" xfId="1" applyFont="1" applyFill="1" applyBorder="1" applyAlignment="1">
      <alignment horizontal="left"/>
    </xf>
    <xf numFmtId="0" fontId="21" fillId="0" borderId="1" xfId="1" applyFont="1" applyBorder="1" applyAlignment="1">
      <alignment horizontal="center"/>
    </xf>
    <xf numFmtId="9" fontId="24" fillId="3" borderId="36" xfId="1" applyNumberFormat="1" applyFont="1" applyFill="1" applyBorder="1" applyAlignment="1">
      <alignment horizontal="center" vertical="center"/>
    </xf>
    <xf numFmtId="9" fontId="24" fillId="9" borderId="23" xfId="1" applyNumberFormat="1" applyFont="1" applyFill="1" applyBorder="1" applyAlignment="1">
      <alignment horizontal="center" vertical="center"/>
    </xf>
    <xf numFmtId="9" fontId="25" fillId="9" borderId="37" xfId="1" applyNumberFormat="1" applyFont="1" applyFill="1" applyBorder="1" applyAlignment="1">
      <alignment horizontal="center" vertical="center"/>
    </xf>
    <xf numFmtId="0" fontId="3" fillId="0" borderId="38" xfId="1" applyFont="1" applyBorder="1" applyAlignment="1">
      <alignment horizontal="left"/>
    </xf>
    <xf numFmtId="9" fontId="24" fillId="3" borderId="39" xfId="1" applyNumberFormat="1" applyFont="1" applyFill="1" applyBorder="1" applyAlignment="1">
      <alignment horizontal="center" vertical="center"/>
    </xf>
    <xf numFmtId="9" fontId="24" fillId="9" borderId="1" xfId="1" applyNumberFormat="1" applyFont="1" applyFill="1" applyBorder="1" applyAlignment="1">
      <alignment horizontal="center" vertical="center"/>
    </xf>
    <xf numFmtId="9" fontId="25" fillId="9" borderId="40" xfId="1" applyNumberFormat="1" applyFont="1" applyFill="1" applyBorder="1" applyAlignment="1">
      <alignment horizontal="center" vertical="center"/>
    </xf>
    <xf numFmtId="0" fontId="21" fillId="0" borderId="23" xfId="1" applyFont="1" applyBorder="1" applyAlignment="1">
      <alignment horizontal="center"/>
    </xf>
    <xf numFmtId="0" fontId="3" fillId="0" borderId="41" xfId="1" applyFont="1" applyBorder="1" applyAlignment="1">
      <alignment horizontal="left"/>
    </xf>
    <xf numFmtId="9" fontId="24" fillId="0" borderId="1" xfId="1" applyNumberFormat="1" applyFont="1" applyBorder="1" applyAlignment="1">
      <alignment horizontal="center" vertical="center"/>
    </xf>
    <xf numFmtId="9" fontId="22" fillId="11" borderId="6" xfId="1" applyNumberFormat="1" applyFont="1" applyFill="1" applyBorder="1" applyAlignment="1">
      <alignment horizontal="center" vertical="center"/>
    </xf>
    <xf numFmtId="0" fontId="3" fillId="11" borderId="47" xfId="1" applyFont="1" applyFill="1" applyBorder="1" applyAlignment="1">
      <alignment horizontal="left"/>
    </xf>
    <xf numFmtId="9" fontId="24" fillId="3" borderId="1" xfId="1" applyNumberFormat="1" applyFont="1" applyFill="1" applyBorder="1" applyAlignment="1">
      <alignment horizontal="center" vertical="center"/>
    </xf>
    <xf numFmtId="9" fontId="24" fillId="9" borderId="10" xfId="1" applyNumberFormat="1" applyFont="1" applyFill="1" applyBorder="1" applyAlignment="1">
      <alignment horizontal="center" vertical="center"/>
    </xf>
    <xf numFmtId="0" fontId="3" fillId="0" borderId="48" xfId="1" applyFont="1" applyBorder="1" applyAlignment="1">
      <alignment horizontal="left"/>
    </xf>
    <xf numFmtId="0" fontId="21" fillId="11" borderId="23" xfId="1" applyFont="1" applyFill="1" applyBorder="1" applyAlignment="1">
      <alignment horizontal="center"/>
    </xf>
    <xf numFmtId="9" fontId="22" fillId="11" borderId="23" xfId="1" applyNumberFormat="1" applyFont="1" applyFill="1" applyBorder="1" applyAlignment="1">
      <alignment horizontal="center" vertical="center"/>
    </xf>
    <xf numFmtId="0" fontId="3" fillId="0" borderId="38" xfId="1" applyFont="1" applyBorder="1" applyAlignment="1">
      <alignment horizontal="left" vertical="center"/>
    </xf>
    <xf numFmtId="0" fontId="3" fillId="0" borderId="49" xfId="1" applyFont="1" applyBorder="1" applyAlignment="1">
      <alignment horizontal="left" vertical="center"/>
    </xf>
    <xf numFmtId="9" fontId="24" fillId="9" borderId="37" xfId="1" applyNumberFormat="1" applyFont="1" applyFill="1" applyBorder="1" applyAlignment="1">
      <alignment horizontal="center" vertical="center"/>
    </xf>
    <xf numFmtId="9" fontId="16" fillId="3" borderId="1" xfId="1" applyNumberFormat="1" applyFont="1" applyFill="1" applyBorder="1" applyAlignment="1">
      <alignment horizontal="center" vertical="center"/>
    </xf>
    <xf numFmtId="9" fontId="24" fillId="9" borderId="50" xfId="1" applyNumberFormat="1" applyFont="1" applyFill="1" applyBorder="1" applyAlignment="1">
      <alignment horizontal="center" vertical="center"/>
    </xf>
    <xf numFmtId="9" fontId="16" fillId="9" borderId="1" xfId="1" applyNumberFormat="1" applyFont="1" applyFill="1" applyBorder="1" applyAlignment="1">
      <alignment horizontal="center" vertical="center"/>
    </xf>
    <xf numFmtId="0" fontId="16" fillId="13" borderId="48" xfId="1" applyFont="1" applyFill="1" applyBorder="1" applyAlignment="1">
      <alignment vertical="center"/>
    </xf>
    <xf numFmtId="0" fontId="3" fillId="13" borderId="38" xfId="1" applyFont="1" applyFill="1" applyBorder="1" applyAlignment="1">
      <alignment horizontal="left"/>
    </xf>
    <xf numFmtId="9" fontId="16" fillId="3" borderId="39" xfId="1" applyNumberFormat="1" applyFont="1" applyFill="1" applyBorder="1" applyAlignment="1">
      <alignment horizontal="center" vertical="center"/>
    </xf>
    <xf numFmtId="9" fontId="16" fillId="9" borderId="49" xfId="1" applyNumberFormat="1" applyFont="1" applyFill="1" applyBorder="1" applyAlignment="1">
      <alignment horizontal="center" vertical="center"/>
    </xf>
    <xf numFmtId="9" fontId="16" fillId="9" borderId="25" xfId="1" applyNumberFormat="1" applyFont="1" applyFill="1" applyBorder="1" applyAlignment="1">
      <alignment horizontal="center" vertical="center"/>
    </xf>
    <xf numFmtId="9" fontId="24" fillId="9" borderId="14" xfId="1" applyNumberFormat="1" applyFont="1" applyFill="1" applyBorder="1" applyAlignment="1">
      <alignment horizontal="center" vertical="center"/>
    </xf>
    <xf numFmtId="0" fontId="3" fillId="0" borderId="51" xfId="1" applyFont="1" applyBorder="1" applyAlignment="1">
      <alignment horizontal="left"/>
    </xf>
    <xf numFmtId="0" fontId="3" fillId="11" borderId="31" xfId="1" applyFont="1" applyFill="1" applyBorder="1" applyAlignment="1">
      <alignment horizontal="left"/>
    </xf>
    <xf numFmtId="9" fontId="24" fillId="9" borderId="27" xfId="1" applyNumberFormat="1" applyFont="1" applyFill="1" applyBorder="1" applyAlignment="1">
      <alignment horizontal="center" vertical="center"/>
    </xf>
    <xf numFmtId="0" fontId="3" fillId="0" borderId="35" xfId="1" applyFont="1" applyBorder="1" applyAlignment="1">
      <alignment horizontal="left" vertical="center"/>
    </xf>
    <xf numFmtId="9" fontId="24" fillId="3" borderId="10" xfId="1" applyNumberFormat="1" applyFont="1" applyFill="1" applyBorder="1" applyAlignment="1">
      <alignment horizontal="center" vertical="center"/>
    </xf>
    <xf numFmtId="0" fontId="21" fillId="0" borderId="25" xfId="1" applyFont="1" applyBorder="1" applyAlignment="1">
      <alignment horizontal="center" vertical="center"/>
    </xf>
    <xf numFmtId="9" fontId="24" fillId="3" borderId="25" xfId="1" applyNumberFormat="1" applyFont="1" applyFill="1" applyBorder="1" applyAlignment="1">
      <alignment horizontal="center" vertical="center"/>
    </xf>
    <xf numFmtId="9" fontId="24" fillId="9" borderId="25" xfId="1" applyNumberFormat="1" applyFont="1" applyFill="1" applyBorder="1" applyAlignment="1">
      <alignment horizontal="center" vertical="center"/>
    </xf>
    <xf numFmtId="0" fontId="23" fillId="0" borderId="0" xfId="1" applyFont="1" applyAlignment="1">
      <alignment horizontal="left" vertical="center"/>
    </xf>
    <xf numFmtId="0" fontId="21" fillId="0" borderId="0" xfId="1" applyFont="1" applyAlignment="1">
      <alignment horizontal="left" vertical="center"/>
    </xf>
    <xf numFmtId="2" fontId="16" fillId="0" borderId="0" xfId="1" applyNumberFormat="1" applyFont="1" applyAlignment="1">
      <alignment horizontal="center" vertical="center"/>
    </xf>
    <xf numFmtId="9" fontId="24" fillId="3" borderId="0" xfId="1" applyNumberFormat="1" applyFont="1" applyFill="1" applyAlignment="1">
      <alignment horizontal="center" vertical="center"/>
    </xf>
    <xf numFmtId="9" fontId="22" fillId="0" borderId="0" xfId="1" applyNumberFormat="1" applyFont="1" applyAlignment="1">
      <alignment horizontal="center" vertical="center"/>
    </xf>
    <xf numFmtId="0" fontId="7" fillId="0" borderId="58" xfId="1" applyFont="1" applyBorder="1" applyAlignment="1">
      <alignment horizontal="left" vertical="center"/>
    </xf>
    <xf numFmtId="165" fontId="27" fillId="15" borderId="58" xfId="1" applyNumberFormat="1" applyFont="1" applyFill="1" applyBorder="1" applyAlignment="1">
      <alignment vertical="center"/>
    </xf>
    <xf numFmtId="2" fontId="21" fillId="0" borderId="0" xfId="1" applyNumberFormat="1" applyFont="1" applyAlignment="1">
      <alignment horizontal="center" vertical="center"/>
    </xf>
    <xf numFmtId="9" fontId="32" fillId="0" borderId="0" xfId="1" applyNumberFormat="1" applyFont="1" applyAlignment="1">
      <alignment horizontal="center" vertical="center"/>
    </xf>
    <xf numFmtId="0" fontId="33" fillId="0" borderId="0" xfId="1" applyFont="1" applyAlignment="1">
      <alignment horizontal="left" vertical="center" wrapText="1"/>
    </xf>
    <xf numFmtId="166" fontId="27" fillId="15" borderId="6" xfId="1" applyNumberFormat="1" applyFont="1" applyFill="1" applyBorder="1" applyAlignment="1">
      <alignment vertical="center"/>
    </xf>
    <xf numFmtId="0" fontId="21" fillId="0" borderId="0" xfId="1" applyFont="1" applyAlignment="1">
      <alignment horizontal="left"/>
    </xf>
    <xf numFmtId="2" fontId="21" fillId="0" borderId="0" xfId="1" applyNumberFormat="1" applyFont="1" applyAlignment="1">
      <alignment horizontal="center"/>
    </xf>
    <xf numFmtId="0" fontId="27" fillId="4" borderId="9" xfId="1" applyFont="1" applyFill="1" applyBorder="1" applyAlignment="1">
      <alignment vertical="center"/>
    </xf>
    <xf numFmtId="0" fontId="27" fillId="4" borderId="1" xfId="1" applyFont="1" applyFill="1" applyBorder="1" applyAlignment="1">
      <alignment vertical="center"/>
    </xf>
    <xf numFmtId="0" fontId="27" fillId="4" borderId="10" xfId="1" applyFont="1" applyFill="1" applyBorder="1" applyAlignment="1">
      <alignment vertical="center"/>
    </xf>
    <xf numFmtId="0" fontId="27" fillId="4" borderId="9" xfId="1" applyFont="1" applyFill="1" applyBorder="1" applyAlignment="1">
      <alignment horizontal="left" vertical="center"/>
    </xf>
    <xf numFmtId="167" fontId="27" fillId="0" borderId="1" xfId="1" applyNumberFormat="1" applyFont="1" applyBorder="1" applyAlignment="1">
      <alignment horizontal="center" vertical="center"/>
    </xf>
    <xf numFmtId="167" fontId="27" fillId="0" borderId="10" xfId="1" applyNumberFormat="1" applyFont="1" applyBorder="1" applyAlignment="1">
      <alignment horizontal="center" vertical="center"/>
    </xf>
    <xf numFmtId="167" fontId="27" fillId="0" borderId="8" xfId="1" applyNumberFormat="1" applyFont="1" applyBorder="1" applyAlignment="1">
      <alignment horizontal="left" vertical="center"/>
    </xf>
    <xf numFmtId="0" fontId="22" fillId="4" borderId="26" xfId="1" applyFont="1" applyFill="1" applyBorder="1" applyAlignment="1">
      <alignment vertical="center" wrapText="1"/>
    </xf>
    <xf numFmtId="1" fontId="16" fillId="16" borderId="43" xfId="1" applyNumberFormat="1" applyFont="1" applyFill="1" applyBorder="1" applyAlignment="1">
      <alignment horizontal="center" vertical="center"/>
    </xf>
    <xf numFmtId="0" fontId="16" fillId="9" borderId="43" xfId="1" applyFont="1" applyFill="1" applyBorder="1" applyAlignment="1">
      <alignment horizontal="center" vertical="center"/>
    </xf>
    <xf numFmtId="0" fontId="34" fillId="0" borderId="0" xfId="1" applyFont="1" applyAlignment="1">
      <alignment horizontal="center" vertical="center" wrapText="1"/>
    </xf>
    <xf numFmtId="0" fontId="27" fillId="4" borderId="11" xfId="1" applyFont="1" applyFill="1" applyBorder="1" applyAlignment="1">
      <alignment horizontal="left" vertical="center"/>
    </xf>
    <xf numFmtId="167" fontId="27" fillId="0" borderId="25" xfId="1" applyNumberFormat="1" applyFont="1" applyBorder="1" applyAlignment="1">
      <alignment horizontal="center" vertical="center"/>
    </xf>
    <xf numFmtId="167" fontId="27" fillId="0" borderId="12" xfId="1" applyNumberFormat="1" applyFont="1" applyBorder="1" applyAlignment="1">
      <alignment horizontal="center" vertical="center"/>
    </xf>
    <xf numFmtId="0" fontId="22" fillId="0" borderId="16" xfId="1" applyFont="1" applyBorder="1" applyAlignment="1">
      <alignment vertical="center" wrapText="1"/>
    </xf>
    <xf numFmtId="0" fontId="22" fillId="0" borderId="17" xfId="1" applyFont="1" applyBorder="1" applyAlignment="1">
      <alignment vertical="center" wrapText="1"/>
    </xf>
    <xf numFmtId="0" fontId="22" fillId="0" borderId="18" xfId="1" applyFont="1" applyBorder="1" applyAlignment="1">
      <alignment vertical="center" wrapText="1"/>
    </xf>
    <xf numFmtId="0" fontId="35" fillId="0" borderId="0" xfId="1" applyFont="1" applyAlignment="1">
      <alignment horizontal="center" vertical="center" wrapText="1"/>
    </xf>
    <xf numFmtId="0" fontId="27" fillId="12" borderId="60" xfId="1" applyFont="1" applyFill="1" applyBorder="1" applyAlignment="1">
      <alignment horizontal="center" vertical="center" wrapText="1"/>
    </xf>
    <xf numFmtId="1" fontId="27" fillId="0" borderId="20" xfId="1" applyNumberFormat="1" applyFont="1" applyBorder="1" applyAlignment="1">
      <alignment horizontal="center" vertical="center"/>
    </xf>
    <xf numFmtId="1" fontId="16" fillId="16" borderId="20" xfId="1" applyNumberFormat="1" applyFont="1" applyFill="1" applyBorder="1" applyAlignment="1">
      <alignment horizontal="center" vertical="center"/>
    </xf>
    <xf numFmtId="1" fontId="27" fillId="0" borderId="30" xfId="1" applyNumberFormat="1" applyFont="1" applyBorder="1" applyAlignment="1">
      <alignment horizontal="center" vertical="center"/>
    </xf>
    <xf numFmtId="1" fontId="16" fillId="16" borderId="58" xfId="1" applyNumberFormat="1" applyFont="1" applyFill="1" applyBorder="1" applyAlignment="1">
      <alignment horizontal="center" vertical="center"/>
    </xf>
    <xf numFmtId="0" fontId="31" fillId="0" borderId="0" xfId="1" applyFont="1" applyAlignment="1">
      <alignment horizontal="center" vertical="center" wrapText="1"/>
    </xf>
    <xf numFmtId="0" fontId="27" fillId="4" borderId="60" xfId="1" applyFont="1" applyFill="1" applyBorder="1" applyAlignment="1">
      <alignment horizontal="center" vertical="center"/>
    </xf>
    <xf numFmtId="0" fontId="27" fillId="15" borderId="20" xfId="1" applyFont="1" applyFill="1" applyBorder="1" applyAlignment="1">
      <alignment horizontal="center" vertical="center"/>
    </xf>
    <xf numFmtId="0" fontId="27" fillId="15" borderId="21" xfId="1" applyFont="1" applyFill="1" applyBorder="1" applyAlignment="1">
      <alignment horizontal="center" vertical="center"/>
    </xf>
    <xf numFmtId="0" fontId="27" fillId="12" borderId="11" xfId="1" applyFont="1" applyFill="1" applyBorder="1" applyAlignment="1">
      <alignment horizontal="center" vertical="center" wrapText="1"/>
    </xf>
    <xf numFmtId="1" fontId="27" fillId="0" borderId="25" xfId="1" applyNumberFormat="1" applyFont="1" applyBorder="1" applyAlignment="1">
      <alignment horizontal="center" vertical="center"/>
    </xf>
    <xf numFmtId="1" fontId="16" fillId="16" borderId="25" xfId="1" applyNumberFormat="1" applyFont="1" applyFill="1" applyBorder="1" applyAlignment="1">
      <alignment horizontal="center" vertical="center"/>
    </xf>
    <xf numFmtId="1" fontId="27" fillId="0" borderId="61" xfId="1" applyNumberFormat="1" applyFont="1" applyBorder="1" applyAlignment="1">
      <alignment horizontal="center" vertical="center"/>
    </xf>
    <xf numFmtId="1" fontId="16" fillId="16" borderId="51" xfId="1" applyNumberFormat="1" applyFont="1" applyFill="1" applyBorder="1" applyAlignment="1">
      <alignment horizontal="center" vertical="center"/>
    </xf>
    <xf numFmtId="0" fontId="27" fillId="2" borderId="60" xfId="1" applyFont="1" applyFill="1" applyBorder="1" applyAlignment="1">
      <alignment horizontal="center" vertical="center" wrapText="1"/>
    </xf>
    <xf numFmtId="0" fontId="27" fillId="2" borderId="11" xfId="1" applyFont="1" applyFill="1" applyBorder="1" applyAlignment="1">
      <alignment horizontal="center" vertical="center" wrapText="1"/>
    </xf>
    <xf numFmtId="0" fontId="36" fillId="0" borderId="0" xfId="1" applyFont="1" applyAlignment="1">
      <alignment vertical="center" wrapText="1"/>
    </xf>
    <xf numFmtId="0" fontId="27" fillId="0" borderId="0" xfId="1" applyFont="1" applyAlignment="1">
      <alignment vertical="center" wrapText="1"/>
    </xf>
    <xf numFmtId="0" fontId="37" fillId="0" borderId="0" xfId="1" applyFont="1" applyAlignment="1">
      <alignment vertical="center" wrapText="1"/>
    </xf>
    <xf numFmtId="164" fontId="4" fillId="0" borderId="29" xfId="1" applyNumberFormat="1" applyFont="1" applyBorder="1" applyAlignment="1">
      <alignment horizontal="center"/>
    </xf>
    <xf numFmtId="164" fontId="4" fillId="0" borderId="25" xfId="1" applyNumberFormat="1" applyFont="1" applyBorder="1" applyAlignment="1">
      <alignment horizontal="center" vertical="center"/>
    </xf>
    <xf numFmtId="164" fontId="4" fillId="0" borderId="12" xfId="1" applyNumberFormat="1" applyFont="1" applyBorder="1" applyAlignment="1">
      <alignment horizontal="center" vertical="center"/>
    </xf>
    <xf numFmtId="164" fontId="4" fillId="0" borderId="11" xfId="1" applyNumberFormat="1" applyFont="1" applyBorder="1" applyAlignment="1">
      <alignment horizontal="center" vertical="center"/>
    </xf>
    <xf numFmtId="167" fontId="27" fillId="15" borderId="1" xfId="1" applyNumberFormat="1" applyFont="1" applyFill="1" applyBorder="1" applyAlignment="1">
      <alignment horizontal="center" vertical="center"/>
    </xf>
    <xf numFmtId="164" fontId="27" fillId="0" borderId="0" xfId="1" applyNumberFormat="1" applyFont="1" applyAlignment="1">
      <alignment horizontal="left" vertical="center"/>
    </xf>
    <xf numFmtId="0" fontId="4" fillId="0" borderId="0" xfId="1" applyFont="1" applyAlignment="1">
      <alignment horizontal="left" vertical="center"/>
    </xf>
    <xf numFmtId="164" fontId="4" fillId="17" borderId="1" xfId="1" applyNumberFormat="1" applyFont="1" applyFill="1" applyBorder="1" applyAlignment="1">
      <alignment horizontal="center" vertical="center"/>
    </xf>
    <xf numFmtId="164" fontId="4" fillId="17" borderId="5" xfId="1" applyNumberFormat="1" applyFont="1" applyFill="1" applyBorder="1" applyAlignment="1">
      <alignment horizontal="center" vertical="center"/>
    </xf>
    <xf numFmtId="164" fontId="4" fillId="17" borderId="29" xfId="1" applyNumberFormat="1" applyFont="1" applyFill="1" applyBorder="1" applyAlignment="1">
      <alignment horizontal="center" vertical="center"/>
    </xf>
    <xf numFmtId="164" fontId="4" fillId="17" borderId="6" xfId="1" applyNumberFormat="1" applyFont="1" applyFill="1" applyBorder="1" applyAlignment="1">
      <alignment horizontal="center" vertical="center"/>
    </xf>
    <xf numFmtId="164" fontId="4" fillId="17" borderId="11" xfId="1" applyNumberFormat="1" applyFont="1" applyFill="1" applyBorder="1" applyAlignment="1">
      <alignment horizontal="center" vertical="center"/>
    </xf>
    <xf numFmtId="164" fontId="4" fillId="17" borderId="25" xfId="1" applyNumberFormat="1" applyFont="1" applyFill="1" applyBorder="1" applyAlignment="1">
      <alignment horizontal="center" vertical="center"/>
    </xf>
    <xf numFmtId="164" fontId="4" fillId="17" borderId="12" xfId="1" applyNumberFormat="1" applyFont="1" applyFill="1" applyBorder="1" applyAlignment="1">
      <alignment horizontal="center" vertical="center"/>
    </xf>
    <xf numFmtId="0" fontId="8" fillId="0" borderId="0" xfId="1" applyFont="1" applyAlignment="1">
      <alignment horizontal="left"/>
    </xf>
    <xf numFmtId="0" fontId="4" fillId="0" borderId="0" xfId="1" applyFont="1" applyAlignment="1">
      <alignment horizontal="center" vertical="center"/>
    </xf>
    <xf numFmtId="0" fontId="21" fillId="4" borderId="62" xfId="1" applyFont="1" applyFill="1" applyBorder="1" applyAlignment="1">
      <alignment horizontal="left" vertical="center" wrapText="1"/>
    </xf>
    <xf numFmtId="0" fontId="19" fillId="10" borderId="53" xfId="1" applyFont="1" applyFill="1" applyBorder="1" applyAlignment="1">
      <alignment horizontal="center" vertical="center"/>
    </xf>
    <xf numFmtId="0" fontId="13" fillId="0" borderId="60" xfId="1" applyFont="1" applyBorder="1" applyAlignment="1">
      <alignment vertical="center" wrapText="1"/>
    </xf>
    <xf numFmtId="0" fontId="13" fillId="0" borderId="20" xfId="1" applyFont="1" applyBorder="1" applyAlignment="1">
      <alignment vertical="center" wrapText="1"/>
    </xf>
    <xf numFmtId="0" fontId="13" fillId="0" borderId="21" xfId="1" applyFont="1" applyBorder="1" applyAlignment="1">
      <alignment vertical="center" wrapText="1"/>
    </xf>
    <xf numFmtId="0" fontId="27" fillId="12" borderId="55" xfId="1" applyFont="1" applyFill="1" applyBorder="1" applyAlignment="1">
      <alignment horizontal="center" vertical="center" wrapText="1"/>
    </xf>
    <xf numFmtId="1" fontId="27" fillId="0" borderId="56" xfId="1" applyNumberFormat="1" applyFont="1" applyBorder="1" applyAlignment="1">
      <alignment horizontal="center" vertical="center"/>
    </xf>
    <xf numFmtId="1" fontId="16" fillId="16" borderId="56" xfId="1" applyNumberFormat="1" applyFont="1" applyFill="1" applyBorder="1" applyAlignment="1">
      <alignment horizontal="center" vertical="center"/>
    </xf>
    <xf numFmtId="0" fontId="27" fillId="2" borderId="55" xfId="1" applyFont="1" applyFill="1" applyBorder="1" applyAlignment="1">
      <alignment horizontal="center" vertical="center" wrapText="1"/>
    </xf>
    <xf numFmtId="164" fontId="38" fillId="11" borderId="58" xfId="1" applyNumberFormat="1" applyFont="1" applyFill="1" applyBorder="1" applyAlignment="1">
      <alignment horizontal="left"/>
    </xf>
    <xf numFmtId="2" fontId="4" fillId="0" borderId="1" xfId="1" applyNumberFormat="1" applyFont="1" applyBorder="1" applyAlignment="1">
      <alignment horizontal="center"/>
    </xf>
    <xf numFmtId="0" fontId="4" fillId="0" borderId="3" xfId="1" applyFont="1" applyBorder="1" applyAlignment="1">
      <alignment horizontal="left"/>
    </xf>
    <xf numFmtId="1" fontId="3" fillId="0" borderId="0" xfId="1" applyNumberFormat="1" applyFont="1" applyAlignment="1">
      <alignment horizontal="left"/>
    </xf>
    <xf numFmtId="0" fontId="4" fillId="0" borderId="8" xfId="1" applyFont="1" applyBorder="1" applyAlignment="1">
      <alignment horizontal="left"/>
    </xf>
    <xf numFmtId="0" fontId="4" fillId="0" borderId="28" xfId="1" applyFont="1" applyBorder="1" applyAlignment="1">
      <alignment horizontal="left"/>
    </xf>
    <xf numFmtId="0" fontId="4" fillId="0" borderId="5" xfId="1" applyFont="1" applyBorder="1" applyAlignment="1">
      <alignment horizontal="left"/>
    </xf>
    <xf numFmtId="0" fontId="4" fillId="0" borderId="35" xfId="1" applyFont="1" applyBorder="1" applyAlignment="1">
      <alignment horizontal="left"/>
    </xf>
    <xf numFmtId="0" fontId="4" fillId="0" borderId="39" xfId="1" applyFont="1" applyBorder="1" applyAlignment="1">
      <alignment horizontal="left"/>
    </xf>
    <xf numFmtId="0" fontId="4" fillId="0" borderId="9" xfId="1" applyFont="1" applyBorder="1" applyAlignment="1">
      <alignment horizontal="left"/>
    </xf>
    <xf numFmtId="2" fontId="5" fillId="11" borderId="1" xfId="1" applyNumberFormat="1" applyFont="1" applyFill="1" applyBorder="1" applyAlignment="1">
      <alignment horizontal="center"/>
    </xf>
    <xf numFmtId="164" fontId="38" fillId="11" borderId="32" xfId="1" applyNumberFormat="1" applyFont="1" applyFill="1" applyBorder="1" applyAlignment="1">
      <alignment horizontal="left"/>
    </xf>
    <xf numFmtId="0" fontId="4" fillId="0" borderId="25" xfId="1" applyFont="1" applyBorder="1" applyAlignment="1">
      <alignment horizontal="left"/>
    </xf>
    <xf numFmtId="0" fontId="4" fillId="0" borderId="12" xfId="1" applyFont="1" applyBorder="1" applyAlignment="1">
      <alignment horizontal="left"/>
    </xf>
    <xf numFmtId="0" fontId="4" fillId="0" borderId="14" xfId="1" applyFont="1" applyBorder="1" applyAlignment="1">
      <alignment horizontal="left"/>
    </xf>
    <xf numFmtId="164" fontId="38" fillId="11" borderId="11" xfId="1" applyNumberFormat="1" applyFont="1" applyFill="1" applyBorder="1" applyAlignment="1">
      <alignment horizontal="left"/>
    </xf>
    <xf numFmtId="0" fontId="3" fillId="13" borderId="0" xfId="1" applyFont="1" applyFill="1" applyAlignment="1">
      <alignment horizontal="left"/>
    </xf>
    <xf numFmtId="0" fontId="3" fillId="2" borderId="0" xfId="1" applyFont="1" applyFill="1" applyAlignment="1">
      <alignment horizontal="left"/>
    </xf>
    <xf numFmtId="0" fontId="2" fillId="0" borderId="0" xfId="1"/>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2" fillId="0" borderId="1" xfId="1" applyBorder="1" applyAlignment="1">
      <alignment horizontal="center" vertical="center"/>
    </xf>
    <xf numFmtId="1" fontId="2" fillId="0" borderId="1" xfId="1" applyNumberFormat="1" applyBorder="1" applyAlignment="1">
      <alignment horizontal="center" vertical="center"/>
    </xf>
    <xf numFmtId="0" fontId="39" fillId="0" borderId="0" xfId="1" applyFont="1"/>
    <xf numFmtId="0" fontId="40" fillId="4" borderId="1" xfId="1" applyFont="1" applyFill="1" applyBorder="1" applyAlignment="1">
      <alignment horizontal="left"/>
    </xf>
    <xf numFmtId="0" fontId="41" fillId="0" borderId="1" xfId="1" applyFont="1" applyBorder="1" applyAlignment="1">
      <alignment horizontal="center" vertical="center"/>
    </xf>
    <xf numFmtId="0" fontId="41" fillId="0" borderId="0" xfId="1" applyFont="1" applyAlignment="1">
      <alignment horizontal="center" vertical="center"/>
    </xf>
    <xf numFmtId="0" fontId="39" fillId="0" borderId="1" xfId="1" applyFont="1" applyBorder="1"/>
    <xf numFmtId="0" fontId="39" fillId="0" borderId="1" xfId="1" applyFont="1" applyBorder="1" applyAlignment="1">
      <alignment horizontal="center" vertical="center"/>
    </xf>
    <xf numFmtId="14" fontId="39" fillId="0" borderId="1" xfId="1" applyNumberFormat="1" applyFont="1" applyBorder="1" applyAlignment="1">
      <alignment horizontal="center" vertical="center"/>
    </xf>
    <xf numFmtId="0" fontId="39" fillId="0" borderId="1" xfId="1" applyFont="1" applyBorder="1" applyAlignment="1">
      <alignment horizontal="left" vertical="center" wrapText="1"/>
    </xf>
    <xf numFmtId="0" fontId="39" fillId="0" borderId="1" xfId="1" applyFont="1" applyBorder="1" applyAlignment="1">
      <alignment horizontal="center" vertical="center" wrapText="1"/>
    </xf>
    <xf numFmtId="0" fontId="27" fillId="0" borderId="0" xfId="1" applyFont="1" applyAlignment="1">
      <alignment horizontal="left"/>
    </xf>
    <xf numFmtId="2" fontId="27" fillId="0" borderId="0" xfId="1" applyNumberFormat="1" applyFont="1" applyAlignment="1">
      <alignment horizontal="center"/>
    </xf>
    <xf numFmtId="0" fontId="5" fillId="4" borderId="1" xfId="1" applyFont="1" applyFill="1" applyBorder="1" applyAlignment="1">
      <alignment horizontal="left"/>
    </xf>
    <xf numFmtId="0" fontId="3" fillId="0" borderId="1" xfId="1" applyFont="1" applyBorder="1" applyAlignment="1">
      <alignment horizontal="left"/>
    </xf>
    <xf numFmtId="0" fontId="27" fillId="0" borderId="1" xfId="1" applyFont="1" applyBorder="1" applyAlignment="1">
      <alignment horizontal="left"/>
    </xf>
    <xf numFmtId="14" fontId="4" fillId="0" borderId="1" xfId="1" applyNumberFormat="1" applyFont="1" applyBorder="1" applyAlignment="1">
      <alignment horizontal="left"/>
    </xf>
    <xf numFmtId="0" fontId="4" fillId="0" borderId="1" xfId="1" applyFont="1" applyBorder="1" applyAlignment="1">
      <alignment horizontal="left"/>
    </xf>
    <xf numFmtId="0" fontId="21" fillId="0" borderId="25" xfId="1" applyFont="1" applyBorder="1" applyAlignment="1">
      <alignment horizontal="center"/>
    </xf>
    <xf numFmtId="9" fontId="16" fillId="3" borderId="25" xfId="1" applyNumberFormat="1" applyFont="1" applyFill="1" applyBorder="1" applyAlignment="1">
      <alignment horizontal="center" vertical="center"/>
    </xf>
    <xf numFmtId="9" fontId="24" fillId="9" borderId="39" xfId="1" applyNumberFormat="1" applyFont="1" applyFill="1" applyBorder="1" applyAlignment="1">
      <alignment horizontal="center" vertical="center"/>
    </xf>
    <xf numFmtId="9" fontId="22" fillId="9" borderId="1" xfId="1" applyNumberFormat="1" applyFont="1" applyFill="1" applyBorder="1" applyAlignment="1">
      <alignment horizontal="center" vertical="center"/>
    </xf>
    <xf numFmtId="9" fontId="22" fillId="9" borderId="25" xfId="1" applyNumberFormat="1" applyFont="1" applyFill="1" applyBorder="1" applyAlignment="1">
      <alignment horizontal="center" vertical="center"/>
    </xf>
    <xf numFmtId="0" fontId="21" fillId="0" borderId="0" xfId="1" applyFont="1" applyAlignment="1">
      <alignment horizontal="center"/>
    </xf>
    <xf numFmtId="0" fontId="21" fillId="0" borderId="0" xfId="1" applyFont="1" applyAlignment="1">
      <alignment horizontal="center" vertical="center"/>
    </xf>
    <xf numFmtId="0" fontId="33" fillId="0" borderId="0" xfId="1" applyFont="1" applyAlignment="1">
      <alignment vertical="center" wrapText="1"/>
    </xf>
    <xf numFmtId="0" fontId="33" fillId="0" borderId="0" xfId="1" applyFont="1"/>
    <xf numFmtId="0" fontId="19" fillId="10" borderId="64" xfId="1" applyFont="1" applyFill="1" applyBorder="1" applyAlignment="1">
      <alignment horizontal="center" vertical="center"/>
    </xf>
    <xf numFmtId="0" fontId="19" fillId="10" borderId="62" xfId="1" applyFont="1" applyFill="1" applyBorder="1" applyAlignment="1">
      <alignment horizontal="center" vertical="center"/>
    </xf>
    <xf numFmtId="0" fontId="19" fillId="10" borderId="2" xfId="1" applyFont="1" applyFill="1" applyBorder="1" applyAlignment="1">
      <alignment horizontal="center" vertical="center"/>
    </xf>
    <xf numFmtId="168" fontId="27" fillId="0" borderId="0" xfId="1" applyNumberFormat="1" applyFont="1" applyAlignment="1">
      <alignment vertical="center"/>
    </xf>
    <xf numFmtId="0" fontId="27" fillId="0" borderId="60" xfId="1" applyFont="1" applyBorder="1" applyAlignment="1">
      <alignment horizontal="center" vertical="center" wrapText="1"/>
    </xf>
    <xf numFmtId="0" fontId="27" fillId="0" borderId="11" xfId="1" applyFont="1" applyBorder="1" applyAlignment="1">
      <alignment horizontal="center" vertical="center" wrapText="1"/>
    </xf>
    <xf numFmtId="0" fontId="7" fillId="4" borderId="1" xfId="1" applyFont="1" applyFill="1" applyBorder="1" applyAlignment="1">
      <alignment horizontal="left" vertical="center" wrapText="1"/>
    </xf>
    <xf numFmtId="0" fontId="27" fillId="4" borderId="1" xfId="1" applyFont="1" applyFill="1" applyBorder="1" applyAlignment="1">
      <alignment horizontal="center" vertical="center"/>
    </xf>
    <xf numFmtId="0" fontId="7" fillId="4" borderId="1" xfId="1" applyFont="1" applyFill="1" applyBorder="1" applyAlignment="1">
      <alignment horizontal="left" vertical="center"/>
    </xf>
    <xf numFmtId="0" fontId="3" fillId="0" borderId="1" xfId="1" applyFont="1" applyBorder="1" applyAlignment="1">
      <alignment horizontal="center" vertical="center"/>
    </xf>
    <xf numFmtId="0" fontId="3" fillId="0" borderId="10" xfId="1" applyFont="1" applyBorder="1" applyAlignment="1">
      <alignment horizontal="left" vertical="center"/>
    </xf>
    <xf numFmtId="0" fontId="23" fillId="0" borderId="9" xfId="1" applyFont="1" applyBorder="1" applyAlignment="1">
      <alignment vertical="center"/>
    </xf>
    <xf numFmtId="0" fontId="23" fillId="0" borderId="1" xfId="1" applyFont="1" applyBorder="1" applyAlignment="1">
      <alignment vertical="center"/>
    </xf>
    <xf numFmtId="0" fontId="7" fillId="4" borderId="1" xfId="1" applyFont="1" applyFill="1" applyBorder="1" applyAlignment="1">
      <alignment vertical="center"/>
    </xf>
    <xf numFmtId="0" fontId="23" fillId="0" borderId="11" xfId="1" applyFont="1" applyBorder="1" applyAlignment="1">
      <alignment vertical="center"/>
    </xf>
    <xf numFmtId="0" fontId="23" fillId="0" borderId="25" xfId="1" applyFont="1" applyBorder="1" applyAlignment="1">
      <alignment vertical="center"/>
    </xf>
    <xf numFmtId="0" fontId="27" fillId="4" borderId="5" xfId="1" applyFont="1" applyFill="1" applyBorder="1" applyAlignment="1">
      <alignment vertical="center"/>
    </xf>
    <xf numFmtId="0" fontId="27" fillId="4" borderId="29" xfId="1" applyFont="1" applyFill="1" applyBorder="1" applyAlignment="1">
      <alignment vertical="center"/>
    </xf>
    <xf numFmtId="0" fontId="3" fillId="0" borderId="9" xfId="1" applyFont="1" applyBorder="1" applyAlignment="1">
      <alignment vertical="center"/>
    </xf>
    <xf numFmtId="0" fontId="3" fillId="0" borderId="1" xfId="1" applyFont="1" applyBorder="1" applyAlignment="1">
      <alignment vertical="center"/>
    </xf>
    <xf numFmtId="0" fontId="20" fillId="11" borderId="5" xfId="1" applyFont="1" applyFill="1" applyBorder="1" applyAlignment="1">
      <alignment vertical="center"/>
    </xf>
    <xf numFmtId="0" fontId="20" fillId="11" borderId="29" xfId="1" applyFont="1" applyFill="1" applyBorder="1" applyAlignment="1">
      <alignment vertical="center"/>
    </xf>
    <xf numFmtId="0" fontId="23" fillId="0" borderId="1" xfId="1" applyFont="1" applyBorder="1" applyAlignment="1">
      <alignment vertical="center" wrapText="1"/>
    </xf>
    <xf numFmtId="0" fontId="23" fillId="0" borderId="50" xfId="1" applyFont="1" applyBorder="1" applyAlignment="1">
      <alignment vertical="center"/>
    </xf>
    <xf numFmtId="0" fontId="15" fillId="4" borderId="2" xfId="1" applyFont="1" applyFill="1" applyBorder="1" applyAlignment="1">
      <alignment vertical="center"/>
    </xf>
    <xf numFmtId="0" fontId="15" fillId="4" borderId="3" xfId="1" applyFont="1" applyFill="1" applyBorder="1" applyAlignment="1">
      <alignment vertical="center"/>
    </xf>
    <xf numFmtId="0" fontId="15" fillId="4" borderId="4" xfId="1" applyFont="1" applyFill="1" applyBorder="1" applyAlignment="1">
      <alignment vertical="center"/>
    </xf>
    <xf numFmtId="0" fontId="15" fillId="4" borderId="7" xfId="1" applyFont="1" applyFill="1" applyBorder="1" applyAlignment="1">
      <alignment vertical="center"/>
    </xf>
    <xf numFmtId="0" fontId="15" fillId="4" borderId="0" xfId="1" applyFont="1" applyFill="1" applyAlignment="1">
      <alignment vertical="center"/>
    </xf>
    <xf numFmtId="0" fontId="15" fillId="4" borderId="8" xfId="1" applyFont="1" applyFill="1" applyBorder="1" applyAlignment="1">
      <alignment vertical="center"/>
    </xf>
    <xf numFmtId="0" fontId="1" fillId="5" borderId="34" xfId="1" applyFont="1" applyFill="1" applyBorder="1" applyAlignment="1">
      <alignment vertical="center"/>
    </xf>
    <xf numFmtId="0" fontId="1" fillId="5" borderId="28" xfId="1" applyFont="1" applyFill="1" applyBorder="1" applyAlignment="1">
      <alignment vertical="center"/>
    </xf>
    <xf numFmtId="0" fontId="1" fillId="5" borderId="63" xfId="1" applyFont="1" applyFill="1" applyBorder="1" applyAlignment="1">
      <alignment vertical="center"/>
    </xf>
    <xf numFmtId="0" fontId="3" fillId="0" borderId="11" xfId="1" applyFont="1" applyBorder="1" applyAlignment="1">
      <alignment vertical="center"/>
    </xf>
    <xf numFmtId="0" fontId="3" fillId="0" borderId="25" xfId="1" applyFont="1" applyBorder="1" applyAlignment="1">
      <alignment vertical="center"/>
    </xf>
    <xf numFmtId="0" fontId="3" fillId="0" borderId="9" xfId="1" applyFont="1" applyBorder="1" applyAlignment="1">
      <alignment vertical="center" wrapText="1"/>
    </xf>
    <xf numFmtId="0" fontId="20" fillId="11" borderId="22" xfId="1" applyFont="1" applyFill="1" applyBorder="1" applyAlignment="1">
      <alignment vertical="center"/>
    </xf>
    <xf numFmtId="0" fontId="20" fillId="11" borderId="23" xfId="1" applyFont="1" applyFill="1" applyBorder="1" applyAlignment="1">
      <alignment vertical="center"/>
    </xf>
    <xf numFmtId="0" fontId="3" fillId="0" borderId="0" xfId="1" applyFont="1" applyAlignment="1">
      <alignment vertical="center"/>
    </xf>
    <xf numFmtId="0" fontId="9" fillId="5" borderId="16" xfId="1" applyFont="1" applyFill="1" applyBorder="1" applyAlignment="1">
      <alignment vertical="center"/>
    </xf>
    <xf numFmtId="0" fontId="9" fillId="5" borderId="17" xfId="1" applyFont="1" applyFill="1" applyBorder="1" applyAlignment="1">
      <alignment vertical="center"/>
    </xf>
    <xf numFmtId="0" fontId="23" fillId="0" borderId="52" xfId="1" applyFont="1" applyBorder="1" applyAlignment="1">
      <alignment vertical="center"/>
    </xf>
    <xf numFmtId="0" fontId="3" fillId="0" borderId="59" xfId="1" applyFont="1" applyBorder="1" applyAlignment="1">
      <alignment horizontal="left"/>
    </xf>
    <xf numFmtId="9" fontId="22" fillId="11" borderId="27" xfId="1" applyNumberFormat="1" applyFont="1" applyFill="1" applyBorder="1" applyAlignment="1">
      <alignment horizontal="center" vertical="center"/>
    </xf>
    <xf numFmtId="9" fontId="25" fillId="9" borderId="50" xfId="1" applyNumberFormat="1" applyFont="1" applyFill="1" applyBorder="1" applyAlignment="1">
      <alignment horizontal="center" vertical="center"/>
    </xf>
    <xf numFmtId="9" fontId="25" fillId="9" borderId="57" xfId="1" applyNumberFormat="1" applyFont="1" applyFill="1" applyBorder="1" applyAlignment="1">
      <alignment horizontal="center" vertical="center"/>
    </xf>
    <xf numFmtId="9" fontId="25" fillId="9" borderId="0" xfId="1" applyNumberFormat="1" applyFont="1" applyFill="1" applyAlignment="1">
      <alignment horizontal="center" vertical="center"/>
    </xf>
    <xf numFmtId="9" fontId="24" fillId="0" borderId="10" xfId="1" applyNumberFormat="1" applyFont="1" applyBorder="1" applyAlignment="1">
      <alignment horizontal="center" vertical="center"/>
    </xf>
    <xf numFmtId="0" fontId="23" fillId="0" borderId="23" xfId="1" applyFont="1" applyBorder="1" applyAlignment="1">
      <alignment vertical="center"/>
    </xf>
    <xf numFmtId="9" fontId="16" fillId="9" borderId="50" xfId="1" applyNumberFormat="1" applyFont="1" applyFill="1" applyBorder="1" applyAlignment="1">
      <alignment horizontal="center" vertical="center"/>
    </xf>
    <xf numFmtId="9" fontId="22" fillId="11" borderId="49" xfId="1" applyNumberFormat="1" applyFont="1" applyFill="1" applyBorder="1" applyAlignment="1">
      <alignment horizontal="center" vertical="center"/>
    </xf>
    <xf numFmtId="0" fontId="12" fillId="3" borderId="1" xfId="1" applyFont="1" applyFill="1" applyBorder="1" applyAlignment="1">
      <alignment vertical="center"/>
    </xf>
    <xf numFmtId="9" fontId="16" fillId="3" borderId="10" xfId="1" applyNumberFormat="1" applyFont="1" applyFill="1" applyBorder="1" applyAlignment="1">
      <alignment horizontal="center" vertical="center"/>
    </xf>
    <xf numFmtId="0" fontId="3" fillId="0" borderId="1" xfId="1" applyFont="1" applyBorder="1" applyAlignment="1">
      <alignment vertical="center" wrapText="1"/>
    </xf>
    <xf numFmtId="0" fontId="12" fillId="3" borderId="43" xfId="1" applyFont="1" applyFill="1" applyBorder="1" applyAlignment="1">
      <alignment vertical="center"/>
    </xf>
    <xf numFmtId="0" fontId="21" fillId="0" borderId="43" xfId="1" applyFont="1" applyBorder="1" applyAlignment="1">
      <alignment horizontal="center"/>
    </xf>
    <xf numFmtId="9" fontId="16" fillId="3" borderId="43" xfId="1" applyNumberFormat="1" applyFont="1" applyFill="1" applyBorder="1" applyAlignment="1">
      <alignment horizontal="center" vertical="center"/>
    </xf>
    <xf numFmtId="9" fontId="16" fillId="9" borderId="43" xfId="1" applyNumberFormat="1" applyFont="1" applyFill="1" applyBorder="1" applyAlignment="1">
      <alignment horizontal="center" vertical="center"/>
    </xf>
    <xf numFmtId="9" fontId="16" fillId="3" borderId="44" xfId="1" applyNumberFormat="1" applyFont="1" applyFill="1" applyBorder="1" applyAlignment="1">
      <alignment horizontal="center" vertical="center"/>
    </xf>
    <xf numFmtId="0" fontId="3" fillId="13" borderId="29" xfId="1" applyFont="1" applyFill="1" applyBorder="1" applyAlignment="1">
      <alignment vertical="center" wrapText="1"/>
    </xf>
    <xf numFmtId="0" fontId="16" fillId="13" borderId="29" xfId="1" applyFont="1" applyFill="1" applyBorder="1" applyAlignment="1">
      <alignment vertical="center"/>
    </xf>
    <xf numFmtId="0" fontId="16" fillId="13" borderId="6" xfId="1" applyFont="1" applyFill="1" applyBorder="1" applyAlignment="1">
      <alignment vertical="center"/>
    </xf>
    <xf numFmtId="0" fontId="3" fillId="0" borderId="25" xfId="1" applyFont="1" applyBorder="1" applyAlignment="1">
      <alignment vertical="center" wrapText="1"/>
    </xf>
    <xf numFmtId="2" fontId="16" fillId="0" borderId="25" xfId="1" applyNumberFormat="1" applyFont="1" applyBorder="1" applyAlignment="1">
      <alignment horizontal="center"/>
    </xf>
    <xf numFmtId="9" fontId="24" fillId="9" borderId="0" xfId="1" applyNumberFormat="1" applyFont="1" applyFill="1" applyAlignment="1">
      <alignment horizontal="center" vertical="center"/>
    </xf>
    <xf numFmtId="9" fontId="22" fillId="11" borderId="0" xfId="1" applyNumberFormat="1" applyFont="1" applyFill="1" applyAlignment="1">
      <alignment horizontal="center" vertical="center"/>
    </xf>
    <xf numFmtId="0" fontId="3" fillId="0" borderId="42" xfId="1" applyFont="1" applyBorder="1" applyAlignment="1">
      <alignment vertical="center"/>
    </xf>
    <xf numFmtId="0" fontId="3" fillId="0" borderId="43" xfId="1" applyFont="1" applyBorder="1" applyAlignment="1">
      <alignment vertical="center" wrapText="1"/>
    </xf>
    <xf numFmtId="0" fontId="19" fillId="10" borderId="25" xfId="1" applyFont="1" applyFill="1" applyBorder="1" applyAlignment="1">
      <alignment horizontal="left" vertical="center"/>
    </xf>
    <xf numFmtId="0" fontId="18" fillId="10" borderId="32" xfId="1" applyFont="1" applyFill="1" applyBorder="1" applyAlignment="1">
      <alignment vertical="center"/>
    </xf>
    <xf numFmtId="0" fontId="18" fillId="10" borderId="25" xfId="1" applyFont="1" applyFill="1" applyBorder="1" applyAlignment="1">
      <alignment vertical="center"/>
    </xf>
    <xf numFmtId="0" fontId="19" fillId="10" borderId="32" xfId="1" applyFont="1" applyFill="1" applyBorder="1" applyAlignment="1">
      <alignment horizontal="left" vertical="center"/>
    </xf>
    <xf numFmtId="0" fontId="16" fillId="9" borderId="29" xfId="1" applyFont="1" applyFill="1" applyBorder="1" applyAlignment="1">
      <alignment vertical="center" wrapText="1"/>
    </xf>
    <xf numFmtId="0" fontId="16" fillId="9" borderId="25" xfId="1" applyFont="1" applyFill="1" applyBorder="1" applyAlignment="1">
      <alignment vertical="center" wrapText="1"/>
    </xf>
    <xf numFmtId="2" fontId="4" fillId="15" borderId="1" xfId="1" applyNumberFormat="1" applyFont="1" applyFill="1" applyBorder="1" applyAlignment="1">
      <alignment horizontal="center"/>
    </xf>
    <xf numFmtId="2" fontId="2" fillId="0" borderId="1" xfId="1" applyNumberFormat="1" applyBorder="1" applyAlignment="1">
      <alignment horizontal="center" vertical="center"/>
    </xf>
    <xf numFmtId="2" fontId="16" fillId="11" borderId="29" xfId="1" applyNumberFormat="1" applyFont="1" applyFill="1" applyBorder="1" applyAlignment="1">
      <alignment horizontal="center"/>
    </xf>
    <xf numFmtId="0" fontId="3" fillId="11" borderId="6" xfId="1" applyFont="1" applyFill="1" applyBorder="1" applyAlignment="1">
      <alignment horizontal="left"/>
    </xf>
    <xf numFmtId="0" fontId="3" fillId="0" borderId="10" xfId="1" applyFont="1" applyBorder="1" applyAlignment="1">
      <alignment horizontal="left"/>
    </xf>
    <xf numFmtId="2" fontId="16" fillId="0" borderId="25" xfId="1" applyNumberFormat="1" applyFont="1" applyBorder="1" applyAlignment="1">
      <alignment horizontal="center" vertical="center"/>
    </xf>
    <xf numFmtId="0" fontId="3" fillId="0" borderId="12" xfId="1" applyFont="1" applyBorder="1" applyAlignment="1">
      <alignment horizontal="left"/>
    </xf>
    <xf numFmtId="2" fontId="16" fillId="11" borderId="23" xfId="1" applyNumberFormat="1" applyFont="1" applyFill="1" applyBorder="1" applyAlignment="1">
      <alignment horizontal="center"/>
    </xf>
    <xf numFmtId="0" fontId="3" fillId="11" borderId="24" xfId="1" applyFont="1" applyFill="1" applyBorder="1" applyAlignment="1">
      <alignment horizontal="left"/>
    </xf>
    <xf numFmtId="0" fontId="3" fillId="0" borderId="11" xfId="1" applyFont="1" applyBorder="1" applyAlignment="1">
      <alignment vertical="center" wrapText="1"/>
    </xf>
    <xf numFmtId="0" fontId="3" fillId="13" borderId="22" xfId="1" applyFont="1" applyFill="1" applyBorder="1" applyAlignment="1">
      <alignment vertical="center" wrapText="1"/>
    </xf>
    <xf numFmtId="0" fontId="3" fillId="13" borderId="23" xfId="1" applyFont="1" applyFill="1" applyBorder="1" applyAlignment="1">
      <alignment vertical="center" wrapText="1"/>
    </xf>
    <xf numFmtId="0" fontId="3" fillId="13" borderId="24" xfId="1" applyFont="1" applyFill="1" applyBorder="1" applyAlignment="1">
      <alignment horizontal="left"/>
    </xf>
    <xf numFmtId="0" fontId="3" fillId="9" borderId="10" xfId="1" applyFont="1" applyFill="1" applyBorder="1" applyAlignment="1">
      <alignment horizontal="left" vertical="center"/>
    </xf>
    <xf numFmtId="0" fontId="3" fillId="0" borderId="12" xfId="1" applyFont="1" applyBorder="1" applyAlignment="1">
      <alignment horizontal="left" vertical="center"/>
    </xf>
    <xf numFmtId="0" fontId="3" fillId="3" borderId="10" xfId="1" applyFont="1" applyFill="1" applyBorder="1" applyAlignment="1">
      <alignment horizontal="left" vertical="center"/>
    </xf>
    <xf numFmtId="9" fontId="25" fillId="9" borderId="1" xfId="1" applyNumberFormat="1" applyFont="1" applyFill="1" applyBorder="1" applyAlignment="1">
      <alignment horizontal="center" vertical="center"/>
    </xf>
    <xf numFmtId="0" fontId="17" fillId="4" borderId="45" xfId="1" applyFont="1" applyFill="1" applyBorder="1" applyAlignment="1">
      <alignment horizontal="center" vertical="center" wrapText="1"/>
    </xf>
    <xf numFmtId="0" fontId="17" fillId="4" borderId="43" xfId="1" applyFont="1" applyFill="1" applyBorder="1" applyAlignment="1">
      <alignment horizontal="center" vertical="center" wrapText="1"/>
    </xf>
    <xf numFmtId="0" fontId="19" fillId="10" borderId="45" xfId="1" applyFont="1" applyFill="1" applyBorder="1" applyAlignment="1">
      <alignment horizontal="center" vertical="center"/>
    </xf>
    <xf numFmtId="0" fontId="19" fillId="10" borderId="43" xfId="1" applyFont="1" applyFill="1" applyBorder="1" applyAlignment="1">
      <alignment horizontal="center" vertical="center"/>
    </xf>
    <xf numFmtId="9" fontId="25" fillId="9" borderId="25" xfId="1" applyNumberFormat="1" applyFont="1" applyFill="1" applyBorder="1" applyAlignment="1">
      <alignment horizontal="center" vertical="center"/>
    </xf>
    <xf numFmtId="2" fontId="7" fillId="0" borderId="1" xfId="1" applyNumberFormat="1" applyFont="1" applyBorder="1" applyAlignment="1">
      <alignment horizontal="center"/>
    </xf>
    <xf numFmtId="0" fontId="28" fillId="11" borderId="29" xfId="1" applyFont="1" applyFill="1" applyBorder="1" applyAlignment="1">
      <alignment horizontal="center"/>
    </xf>
    <xf numFmtId="2" fontId="7" fillId="0" borderId="1" xfId="1" applyNumberFormat="1" applyFont="1" applyBorder="1" applyAlignment="1">
      <alignment horizontal="center" vertical="center"/>
    </xf>
    <xf numFmtId="2" fontId="7" fillId="0" borderId="25" xfId="1" applyNumberFormat="1" applyFont="1" applyBorder="1" applyAlignment="1">
      <alignment horizontal="center" vertical="center"/>
    </xf>
    <xf numFmtId="9" fontId="47" fillId="11" borderId="23" xfId="1" applyNumberFormat="1" applyFont="1" applyFill="1" applyBorder="1" applyAlignment="1">
      <alignment horizontal="center" vertical="center"/>
    </xf>
    <xf numFmtId="2" fontId="7" fillId="0" borderId="1" xfId="1" applyNumberFormat="1" applyFont="1" applyBorder="1" applyAlignment="1">
      <alignment horizontal="center" vertical="center" wrapText="1"/>
    </xf>
    <xf numFmtId="0" fontId="30" fillId="13" borderId="29" xfId="1" applyFont="1" applyFill="1" applyBorder="1" applyAlignment="1">
      <alignment vertical="center"/>
    </xf>
    <xf numFmtId="2" fontId="7" fillId="0" borderId="43" xfId="1" applyNumberFormat="1" applyFont="1" applyBorder="1" applyAlignment="1">
      <alignment horizontal="center" vertical="center"/>
    </xf>
    <xf numFmtId="0" fontId="3" fillId="0" borderId="44" xfId="1" applyFont="1" applyBorder="1" applyAlignment="1">
      <alignment horizontal="left" vertical="center"/>
    </xf>
    <xf numFmtId="0" fontId="17" fillId="0" borderId="1" xfId="1" applyFont="1" applyBorder="1" applyAlignment="1">
      <alignment horizontal="center"/>
    </xf>
    <xf numFmtId="0" fontId="17" fillId="0" borderId="1" xfId="1" applyFont="1" applyBorder="1" applyAlignment="1">
      <alignment horizontal="center" vertical="center"/>
    </xf>
    <xf numFmtId="2" fontId="48" fillId="0" borderId="1" xfId="1" applyNumberFormat="1" applyFont="1" applyBorder="1" applyAlignment="1">
      <alignment horizontal="center" vertical="center"/>
    </xf>
    <xf numFmtId="9" fontId="16" fillId="3" borderId="40" xfId="1" applyNumberFormat="1" applyFont="1" applyFill="1" applyBorder="1" applyAlignment="1">
      <alignment horizontal="center" vertical="center"/>
    </xf>
    <xf numFmtId="9" fontId="16" fillId="3" borderId="23" xfId="1" applyNumberFormat="1" applyFont="1" applyFill="1" applyBorder="1" applyAlignment="1">
      <alignment horizontal="center" vertical="center"/>
    </xf>
    <xf numFmtId="9" fontId="24" fillId="9" borderId="49" xfId="1" applyNumberFormat="1" applyFont="1" applyFill="1" applyBorder="1" applyAlignment="1">
      <alignment horizontal="center" vertical="center"/>
    </xf>
    <xf numFmtId="0" fontId="4" fillId="0" borderId="46" xfId="1" applyFont="1" applyBorder="1" applyAlignment="1">
      <alignment horizontal="center" vertical="center"/>
    </xf>
    <xf numFmtId="0" fontId="4" fillId="0" borderId="57" xfId="1" applyFont="1" applyBorder="1" applyAlignment="1">
      <alignment horizontal="center" vertical="center"/>
    </xf>
    <xf numFmtId="0" fontId="4" fillId="0" borderId="0" xfId="1" applyFont="1" applyAlignment="1">
      <alignment horizontal="center" vertical="center"/>
    </xf>
    <xf numFmtId="0" fontId="13" fillId="0" borderId="60" xfId="1" applyFont="1" applyBorder="1" applyAlignment="1">
      <alignment horizontal="center" vertical="center" wrapText="1"/>
    </xf>
    <xf numFmtId="0" fontId="13" fillId="0" borderId="20" xfId="1" applyFont="1" applyBorder="1" applyAlignment="1">
      <alignment horizontal="center" vertical="center" wrapText="1"/>
    </xf>
    <xf numFmtId="0" fontId="13" fillId="0" borderId="21" xfId="1" applyFont="1" applyBorder="1" applyAlignment="1">
      <alignment horizontal="center" vertical="center" wrapText="1"/>
    </xf>
    <xf numFmtId="1" fontId="4" fillId="17" borderId="46" xfId="1" applyNumberFormat="1" applyFont="1" applyFill="1" applyBorder="1" applyAlignment="1">
      <alignment horizontal="center" vertical="center"/>
    </xf>
    <xf numFmtId="1" fontId="4" fillId="17" borderId="54" xfId="1" applyNumberFormat="1" applyFont="1" applyFill="1" applyBorder="1" applyAlignment="1">
      <alignment horizontal="center" vertical="center"/>
    </xf>
    <xf numFmtId="1" fontId="4" fillId="17" borderId="37" xfId="1" applyNumberFormat="1" applyFont="1" applyFill="1" applyBorder="1" applyAlignment="1">
      <alignment horizontal="center" vertical="center"/>
    </xf>
    <xf numFmtId="164" fontId="4" fillId="18" borderId="57" xfId="1" applyNumberFormat="1" applyFont="1" applyFill="1" applyBorder="1" applyAlignment="1">
      <alignment horizontal="center" vertical="center"/>
    </xf>
    <xf numFmtId="164" fontId="4" fillId="18" borderId="0" xfId="1" applyNumberFormat="1" applyFont="1" applyFill="1" applyAlignment="1">
      <alignment horizontal="center" vertical="center"/>
    </xf>
    <xf numFmtId="164" fontId="4" fillId="18" borderId="49" xfId="1" applyNumberFormat="1" applyFont="1" applyFill="1" applyBorder="1" applyAlignment="1">
      <alignment horizontal="center" vertical="center"/>
    </xf>
    <xf numFmtId="164" fontId="4" fillId="18" borderId="39" xfId="1" applyNumberFormat="1" applyFont="1" applyFill="1" applyBorder="1" applyAlignment="1">
      <alignment horizontal="center" vertical="center"/>
    </xf>
    <xf numFmtId="0" fontId="17" fillId="19" borderId="11" xfId="1" applyFont="1" applyFill="1" applyBorder="1" applyAlignment="1">
      <alignment horizontal="left" vertical="center" wrapText="1"/>
    </xf>
    <xf numFmtId="0" fontId="17" fillId="19" borderId="12" xfId="1" applyFont="1" applyFill="1" applyBorder="1" applyAlignment="1">
      <alignment horizontal="left" vertical="center" wrapText="1"/>
    </xf>
    <xf numFmtId="0" fontId="17" fillId="4" borderId="11" xfId="1" applyFont="1" applyFill="1" applyBorder="1" applyAlignment="1">
      <alignment horizontal="left" vertical="center" wrapText="1"/>
    </xf>
    <xf numFmtId="0" fontId="17" fillId="4" borderId="12" xfId="1" applyFont="1" applyFill="1" applyBorder="1" applyAlignment="1">
      <alignment horizontal="left" vertical="center" wrapText="1"/>
    </xf>
    <xf numFmtId="2" fontId="27" fillId="0" borderId="1" xfId="1" applyNumberFormat="1" applyFont="1" applyBorder="1" applyAlignment="1">
      <alignment horizontal="center" vertical="center"/>
    </xf>
    <xf numFmtId="0" fontId="17" fillId="4" borderId="5" xfId="1" applyFont="1" applyFill="1" applyBorder="1" applyAlignment="1">
      <alignment horizontal="left" vertical="center" wrapText="1"/>
    </xf>
    <xf numFmtId="0" fontId="17" fillId="4" borderId="6" xfId="1" applyFont="1" applyFill="1" applyBorder="1" applyAlignment="1">
      <alignment horizontal="left" vertical="center" wrapText="1"/>
    </xf>
    <xf numFmtId="2" fontId="27" fillId="0" borderId="28" xfId="1" applyNumberFormat="1" applyFont="1" applyBorder="1" applyAlignment="1">
      <alignment horizontal="center" vertical="center"/>
    </xf>
    <xf numFmtId="2" fontId="27" fillId="0" borderId="32" xfId="1" applyNumberFormat="1" applyFont="1" applyBorder="1" applyAlignment="1">
      <alignment horizontal="center" vertical="center"/>
    </xf>
    <xf numFmtId="0" fontId="34" fillId="0" borderId="0" xfId="1" applyFont="1" applyAlignment="1">
      <alignment horizontal="center" vertical="center" wrapText="1"/>
    </xf>
    <xf numFmtId="0" fontId="35" fillId="0" borderId="0" xfId="1" applyFont="1" applyAlignment="1">
      <alignment horizontal="center" vertical="center" wrapText="1"/>
    </xf>
    <xf numFmtId="0" fontId="22" fillId="0" borderId="16" xfId="1" applyFont="1" applyBorder="1" applyAlignment="1">
      <alignment horizontal="center" vertical="center" wrapText="1"/>
    </xf>
    <xf numFmtId="0" fontId="22" fillId="0" borderId="17" xfId="1" applyFont="1" applyBorder="1" applyAlignment="1">
      <alignment horizontal="center" vertical="center" wrapText="1"/>
    </xf>
    <xf numFmtId="0" fontId="22" fillId="0" borderId="18" xfId="1" applyFont="1" applyBorder="1" applyAlignment="1">
      <alignment horizontal="center" vertical="center" wrapText="1"/>
    </xf>
    <xf numFmtId="0" fontId="21" fillId="0" borderId="26" xfId="1" applyFont="1" applyBorder="1" applyAlignment="1">
      <alignment horizontal="center" vertical="center" wrapText="1"/>
    </xf>
    <xf numFmtId="0" fontId="21" fillId="0" borderId="33" xfId="1" applyFont="1" applyBorder="1" applyAlignment="1">
      <alignment horizontal="center" vertical="center" wrapText="1"/>
    </xf>
    <xf numFmtId="2" fontId="27" fillId="0" borderId="62" xfId="1" applyNumberFormat="1" applyFont="1" applyBorder="1" applyAlignment="1">
      <alignment horizontal="center" vertical="center"/>
    </xf>
    <xf numFmtId="2" fontId="27" fillId="0" borderId="55" xfId="1" applyNumberFormat="1" applyFont="1" applyBorder="1" applyAlignment="1">
      <alignment horizontal="center" vertical="center"/>
    </xf>
    <xf numFmtId="2" fontId="4" fillId="0" borderId="50" xfId="1" applyNumberFormat="1" applyFont="1" applyBorder="1" applyAlignment="1">
      <alignment horizontal="center"/>
    </xf>
    <xf numFmtId="2" fontId="4" fillId="0" borderId="39" xfId="1" applyNumberFormat="1" applyFont="1" applyBorder="1" applyAlignment="1">
      <alignment horizontal="center" vertical="center"/>
    </xf>
    <xf numFmtId="167" fontId="27" fillId="0" borderId="0" xfId="1" applyNumberFormat="1" applyFont="1" applyAlignment="1">
      <alignment horizontal="center" vertical="center"/>
    </xf>
    <xf numFmtId="167" fontId="27" fillId="0" borderId="8" xfId="1" applyNumberFormat="1" applyFont="1" applyBorder="1" applyAlignment="1">
      <alignment horizontal="center" vertical="center"/>
    </xf>
    <xf numFmtId="0" fontId="16" fillId="13" borderId="23" xfId="1" applyFont="1" applyFill="1" applyBorder="1" applyAlignment="1">
      <alignment horizontal="center" vertical="center"/>
    </xf>
    <xf numFmtId="0" fontId="16" fillId="9" borderId="29" xfId="1" applyFont="1" applyFill="1" applyBorder="1" applyAlignment="1">
      <alignment horizontal="center" vertical="center" wrapText="1"/>
    </xf>
    <xf numFmtId="0" fontId="16" fillId="9" borderId="43" xfId="1" applyFont="1" applyFill="1" applyBorder="1" applyAlignment="1">
      <alignment horizontal="center" vertical="center" wrapText="1"/>
    </xf>
    <xf numFmtId="2" fontId="22" fillId="11" borderId="29" xfId="1" applyNumberFormat="1" applyFont="1" applyFill="1" applyBorder="1" applyAlignment="1">
      <alignment horizontal="center" vertical="center"/>
    </xf>
    <xf numFmtId="0" fontId="6" fillId="3" borderId="2" xfId="1" applyFont="1" applyFill="1" applyBorder="1" applyAlignment="1">
      <alignment horizontal="center" wrapText="1"/>
    </xf>
    <xf numFmtId="0" fontId="6" fillId="3" borderId="3" xfId="1" applyFont="1" applyFill="1" applyBorder="1" applyAlignment="1">
      <alignment horizontal="center" wrapText="1"/>
    </xf>
    <xf numFmtId="0" fontId="6" fillId="3" borderId="7" xfId="1" applyFont="1" applyFill="1" applyBorder="1" applyAlignment="1">
      <alignment horizontal="center" wrapText="1"/>
    </xf>
    <xf numFmtId="0" fontId="6" fillId="3" borderId="0" xfId="1" applyFont="1" applyFill="1" applyAlignment="1">
      <alignment horizontal="center" wrapText="1"/>
    </xf>
    <xf numFmtId="0" fontId="6" fillId="3" borderId="13" xfId="1" applyFont="1" applyFill="1" applyBorder="1" applyAlignment="1">
      <alignment horizontal="center" wrapText="1"/>
    </xf>
    <xf numFmtId="0" fontId="6" fillId="3" borderId="14" xfId="1" applyFont="1" applyFill="1" applyBorder="1" applyAlignment="1">
      <alignment horizontal="center" wrapText="1"/>
    </xf>
    <xf numFmtId="0" fontId="7" fillId="3" borderId="4" xfId="1" applyFont="1" applyFill="1" applyBorder="1" applyAlignment="1">
      <alignment horizontal="center"/>
    </xf>
    <xf numFmtId="0" fontId="7" fillId="3" borderId="8" xfId="1" applyFont="1" applyFill="1" applyBorder="1" applyAlignment="1">
      <alignment horizontal="center"/>
    </xf>
    <xf numFmtId="0" fontId="7" fillId="3" borderId="15" xfId="1" applyFont="1" applyFill="1" applyBorder="1" applyAlignment="1">
      <alignment horizontal="center"/>
    </xf>
    <xf numFmtId="2" fontId="14" fillId="4" borderId="16" xfId="1" applyNumberFormat="1" applyFont="1" applyFill="1" applyBorder="1" applyAlignment="1">
      <alignment horizontal="center" vertical="center" wrapText="1"/>
    </xf>
    <xf numFmtId="2" fontId="14" fillId="4" borderId="17" xfId="1" applyNumberFormat="1" applyFont="1" applyFill="1" applyBorder="1" applyAlignment="1">
      <alignment horizontal="center" vertical="center" wrapText="1"/>
    </xf>
    <xf numFmtId="2" fontId="14" fillId="4" borderId="18" xfId="1" applyNumberFormat="1" applyFont="1" applyFill="1" applyBorder="1" applyAlignment="1">
      <alignment horizontal="center" vertical="center" wrapText="1"/>
    </xf>
    <xf numFmtId="0" fontId="15" fillId="4" borderId="26" xfId="1" applyFont="1" applyFill="1" applyBorder="1" applyAlignment="1">
      <alignment horizontal="center" vertical="center"/>
    </xf>
    <xf numFmtId="0" fontId="15" fillId="4" borderId="31" xfId="1" applyFont="1" applyFill="1" applyBorder="1" applyAlignment="1">
      <alignment horizontal="center" vertical="center"/>
    </xf>
    <xf numFmtId="0" fontId="15" fillId="4" borderId="27" xfId="1" applyFont="1" applyFill="1" applyBorder="1" applyAlignment="1">
      <alignment horizontal="center" vertical="center"/>
    </xf>
    <xf numFmtId="0" fontId="15" fillId="4" borderId="28" xfId="1" applyFont="1" applyFill="1" applyBorder="1" applyAlignment="1">
      <alignment horizontal="center" vertical="center"/>
    </xf>
    <xf numFmtId="0" fontId="15" fillId="4" borderId="6" xfId="1" applyFont="1" applyFill="1" applyBorder="1" applyAlignment="1">
      <alignment horizontal="center" vertical="center"/>
    </xf>
    <xf numFmtId="0" fontId="15" fillId="4" borderId="44" xfId="1" applyFont="1" applyFill="1" applyBorder="1" applyAlignment="1">
      <alignment horizontal="center" vertical="center"/>
    </xf>
    <xf numFmtId="2" fontId="22" fillId="20" borderId="28" xfId="1" applyNumberFormat="1" applyFont="1" applyFill="1" applyBorder="1" applyAlignment="1">
      <alignment horizontal="center" vertical="center"/>
    </xf>
    <xf numFmtId="2" fontId="22" fillId="20" borderId="29" xfId="1" applyNumberFormat="1" applyFont="1" applyFill="1" applyBorder="1" applyAlignment="1">
      <alignment horizontal="center" vertical="center"/>
    </xf>
    <xf numFmtId="2" fontId="22" fillId="2" borderId="29" xfId="1" applyNumberFormat="1" applyFont="1" applyFill="1" applyBorder="1" applyAlignment="1">
      <alignment horizontal="center" vertical="center"/>
    </xf>
    <xf numFmtId="0" fontId="5" fillId="13" borderId="1" xfId="1" applyFont="1" applyFill="1" applyBorder="1" applyAlignment="1">
      <alignment horizontal="center" wrapText="1"/>
    </xf>
    <xf numFmtId="0" fontId="5" fillId="13" borderId="1" xfId="1" applyFont="1" applyFill="1" applyBorder="1" applyAlignment="1">
      <alignment horizontal="center"/>
    </xf>
    <xf numFmtId="0" fontId="5" fillId="2" borderId="1" xfId="1" applyFont="1" applyFill="1" applyBorder="1" applyAlignment="1">
      <alignment horizontal="center" wrapText="1"/>
    </xf>
    <xf numFmtId="0" fontId="5" fillId="2" borderId="1" xfId="1" applyFont="1" applyFill="1" applyBorder="1" applyAlignment="1">
      <alignment horizontal="center"/>
    </xf>
    <xf numFmtId="0" fontId="5" fillId="14" borderId="1" xfId="1" applyFont="1" applyFill="1" applyBorder="1" applyAlignment="1">
      <alignment horizontal="center" wrapText="1"/>
    </xf>
    <xf numFmtId="0" fontId="5" fillId="14" borderId="1" xfId="1" applyFont="1" applyFill="1" applyBorder="1" applyAlignment="1">
      <alignment horizontal="center"/>
    </xf>
    <xf numFmtId="0" fontId="6" fillId="3" borderId="2" xfId="1" applyFont="1" applyFill="1" applyBorder="1" applyAlignment="1">
      <alignment horizontal="center" vertical="center" wrapText="1"/>
    </xf>
    <xf numFmtId="0" fontId="6" fillId="3" borderId="3" xfId="1" applyFont="1" applyFill="1" applyBorder="1" applyAlignment="1">
      <alignment horizontal="center" vertical="center" wrapText="1"/>
    </xf>
    <xf numFmtId="0" fontId="6" fillId="3" borderId="7" xfId="1" applyFont="1" applyFill="1" applyBorder="1" applyAlignment="1">
      <alignment horizontal="center" vertical="center" wrapText="1"/>
    </xf>
    <xf numFmtId="0" fontId="6" fillId="3" borderId="0" xfId="1" applyFont="1" applyFill="1" applyAlignment="1">
      <alignment horizontal="center" vertical="center" wrapText="1"/>
    </xf>
    <xf numFmtId="0" fontId="6" fillId="3" borderId="13" xfId="1" applyFont="1" applyFill="1" applyBorder="1" applyAlignment="1">
      <alignment horizontal="center" vertical="center" wrapText="1"/>
    </xf>
    <xf numFmtId="0" fontId="6" fillId="3" borderId="14" xfId="1" applyFont="1" applyFill="1" applyBorder="1" applyAlignment="1">
      <alignment horizontal="center" vertical="center" wrapText="1"/>
    </xf>
    <xf numFmtId="0" fontId="15" fillId="4" borderId="33" xfId="1" applyFont="1" applyFill="1" applyBorder="1" applyAlignment="1">
      <alignment horizontal="center" vertical="center"/>
    </xf>
    <xf numFmtId="1" fontId="10" fillId="6" borderId="17" xfId="1" applyNumberFormat="1" applyFont="1" applyFill="1" applyBorder="1" applyAlignment="1">
      <alignment horizontal="center" vertical="center"/>
    </xf>
    <xf numFmtId="1" fontId="10" fillId="6" borderId="19" xfId="1" applyNumberFormat="1" applyFont="1" applyFill="1" applyBorder="1" applyAlignment="1">
      <alignment horizontal="center" vertical="center"/>
    </xf>
    <xf numFmtId="1" fontId="10" fillId="7" borderId="30" xfId="1" applyNumberFormat="1" applyFont="1" applyFill="1" applyBorder="1" applyAlignment="1">
      <alignment horizontal="center" vertical="center"/>
    </xf>
    <xf numFmtId="1" fontId="10" fillId="7" borderId="17" xfId="1" applyNumberFormat="1" applyFont="1" applyFill="1" applyBorder="1" applyAlignment="1">
      <alignment horizontal="center" vertical="center"/>
    </xf>
    <xf numFmtId="1" fontId="10" fillId="7" borderId="19" xfId="1" applyNumberFormat="1" applyFont="1" applyFill="1" applyBorder="1" applyAlignment="1">
      <alignment horizontal="center" vertical="center"/>
    </xf>
    <xf numFmtId="1" fontId="10" fillId="8" borderId="30" xfId="1" applyNumberFormat="1" applyFont="1" applyFill="1" applyBorder="1" applyAlignment="1">
      <alignment horizontal="center" vertical="center"/>
    </xf>
    <xf numFmtId="1" fontId="10" fillId="8" borderId="17" xfId="1" applyNumberFormat="1" applyFont="1" applyFill="1" applyBorder="1" applyAlignment="1">
      <alignment horizontal="center" vertical="center"/>
    </xf>
    <xf numFmtId="1" fontId="10" fillId="8" borderId="18" xfId="1" applyNumberFormat="1" applyFont="1" applyFill="1" applyBorder="1" applyAlignment="1">
      <alignment horizontal="center" vertical="center"/>
    </xf>
    <xf numFmtId="0" fontId="21" fillId="12" borderId="26" xfId="1" applyFont="1" applyFill="1" applyBorder="1" applyAlignment="1">
      <alignment horizontal="center" vertical="center"/>
    </xf>
    <xf numFmtId="0" fontId="21" fillId="12" borderId="33" xfId="1" applyFont="1" applyFill="1" applyBorder="1" applyAlignment="1">
      <alignment horizontal="center" vertical="center"/>
    </xf>
    <xf numFmtId="0" fontId="21" fillId="2" borderId="26" xfId="1" applyFont="1" applyFill="1" applyBorder="1" applyAlignment="1">
      <alignment horizontal="center" vertical="center"/>
    </xf>
    <xf numFmtId="0" fontId="21" fillId="2" borderId="33" xfId="1" applyFont="1" applyFill="1" applyBorder="1" applyAlignment="1">
      <alignment horizontal="center" vertical="center"/>
    </xf>
    <xf numFmtId="0" fontId="16" fillId="9" borderId="25" xfId="1" applyFont="1" applyFill="1" applyBorder="1" applyAlignment="1">
      <alignment horizontal="center" vertical="center" wrapText="1"/>
    </xf>
    <xf numFmtId="0" fontId="15" fillId="4" borderId="6" xfId="1" applyFont="1" applyFill="1" applyBorder="1" applyAlignment="1">
      <alignment horizontal="center" vertical="center" wrapText="1"/>
    </xf>
    <xf numFmtId="0" fontId="15" fillId="4" borderId="12" xfId="1" applyFont="1" applyFill="1" applyBorder="1" applyAlignment="1">
      <alignment horizontal="center" vertical="center" wrapText="1"/>
    </xf>
    <xf numFmtId="1" fontId="10" fillId="6" borderId="16" xfId="1" applyNumberFormat="1" applyFont="1" applyFill="1" applyBorder="1" applyAlignment="1">
      <alignment horizontal="center" vertical="center"/>
    </xf>
    <xf numFmtId="2" fontId="5" fillId="6" borderId="1" xfId="1" applyNumberFormat="1" applyFont="1" applyFill="1" applyBorder="1" applyAlignment="1">
      <alignment horizontal="center" wrapText="1"/>
    </xf>
    <xf numFmtId="0" fontId="5" fillId="6" borderId="1" xfId="1" applyFont="1" applyFill="1" applyBorder="1" applyAlignment="1">
      <alignment horizontal="center" wrapText="1"/>
    </xf>
    <xf numFmtId="0" fontId="5" fillId="6" borderId="1" xfId="1" applyFont="1" applyFill="1" applyBorder="1" applyAlignment="1">
      <alignment horizontal="center"/>
    </xf>
    <xf numFmtId="1" fontId="5" fillId="11" borderId="1" xfId="1" applyNumberFormat="1" applyFont="1" applyFill="1" applyBorder="1" applyAlignment="1">
      <alignment horizontal="center" wrapText="1"/>
    </xf>
    <xf numFmtId="0" fontId="5" fillId="11" borderId="1" xfId="1" applyFont="1" applyFill="1" applyBorder="1" applyAlignment="1">
      <alignment horizontal="center" wrapText="1"/>
    </xf>
    <xf numFmtId="0" fontId="5" fillId="11" borderId="1" xfId="1" applyFont="1" applyFill="1" applyBorder="1" applyAlignment="1">
      <alignment horizontal="center"/>
    </xf>
    <xf numFmtId="1" fontId="5" fillId="8" borderId="1" xfId="1" applyNumberFormat="1" applyFont="1" applyFill="1" applyBorder="1" applyAlignment="1">
      <alignment horizontal="center" wrapText="1"/>
    </xf>
    <xf numFmtId="0" fontId="5" fillId="8" borderId="1" xfId="1" applyFont="1" applyFill="1" applyBorder="1" applyAlignment="1">
      <alignment horizontal="center" wrapText="1"/>
    </xf>
    <xf numFmtId="0" fontId="5" fillId="8" borderId="1" xfId="1" applyFont="1" applyFill="1" applyBorder="1" applyAlignment="1">
      <alignment horizontal="center"/>
    </xf>
  </cellXfs>
  <cellStyles count="2">
    <cellStyle name="Normal" xfId="0" builtinId="0"/>
    <cellStyle name="Normal 2" xfId="1" xr:uid="{4B522C14-07E5-4513-A79D-6077C75D2558}"/>
  </cellStyles>
  <dxfs count="17">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F0"/>
        </patternFill>
      </fill>
    </dxf>
    <dxf>
      <fill>
        <patternFill>
          <bgColor rgb="FF92D050"/>
        </patternFill>
      </fill>
    </dxf>
    <dxf>
      <fill>
        <patternFill>
          <bgColor indexed="40"/>
        </patternFill>
      </fill>
    </dxf>
    <dxf>
      <fill>
        <patternFill>
          <bgColor indexed="53"/>
        </patternFill>
      </fill>
    </dxf>
    <dxf>
      <fill>
        <patternFill>
          <bgColor indexed="11"/>
        </patternFill>
      </fill>
    </dxf>
    <dxf>
      <fill>
        <patternFill>
          <bgColor indexed="11"/>
        </patternFill>
      </fill>
    </dxf>
    <dxf>
      <fill>
        <patternFill>
          <bgColor indexed="53"/>
        </patternFill>
      </fill>
    </dxf>
    <dxf>
      <fill>
        <patternFill>
          <bgColor indexed="40"/>
        </patternFill>
      </fill>
    </dxf>
    <dxf>
      <fill>
        <patternFill>
          <bgColor indexed="40"/>
        </patternFill>
      </fill>
    </dxf>
    <dxf>
      <fill>
        <patternFill>
          <bgColor indexed="53"/>
        </patternFill>
      </fill>
    </dxf>
    <dxf>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Winter</a:t>
            </a:r>
          </a:p>
        </c:rich>
      </c:tx>
      <c:overlay val="0"/>
      <c:spPr>
        <a:noFill/>
        <a:ln w="25400">
          <a:noFill/>
        </a:ln>
      </c:spPr>
    </c:title>
    <c:autoTitleDeleted val="0"/>
    <c:plotArea>
      <c:layout/>
      <c:scatterChart>
        <c:scatterStyle val="lineMarker"/>
        <c:varyColors val="0"/>
        <c:ser>
          <c:idx val="0"/>
          <c:order val="0"/>
          <c:tx>
            <c:strRef>
              <c:f>Graph!$B$3</c:f>
              <c:strCache>
                <c:ptCount val="1"/>
                <c:pt idx="0">
                  <c:v>Base
Vehicle global conso (A)</c:v>
                </c:pt>
              </c:strCache>
            </c:strRef>
          </c:tx>
          <c:spPr>
            <a:ln w="19050" cap="rnd">
              <a:solidFill>
                <a:schemeClr val="accent1"/>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Graph!$B$4:$B$15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1427-4E0D-9057-2FCECEEFFA38}"/>
            </c:ext>
          </c:extLst>
        </c:ser>
        <c:ser>
          <c:idx val="1"/>
          <c:order val="1"/>
          <c:tx>
            <c:strRef>
              <c:f>Graph!$C$3</c:f>
              <c:strCache>
                <c:ptCount val="1"/>
                <c:pt idx="0">
                  <c:v>Upper
Vehicle global conso (A)</c:v>
                </c:pt>
              </c:strCache>
            </c:strRef>
          </c:tx>
          <c:spPr>
            <a:ln w="19050" cap="rnd">
              <a:solidFill>
                <a:schemeClr val="accent2"/>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Graph!$C$4:$C$15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1-1427-4E0D-9057-2FCECEEFFA38}"/>
            </c:ext>
          </c:extLst>
        </c:ser>
        <c:ser>
          <c:idx val="2"/>
          <c:order val="2"/>
          <c:tx>
            <c:strRef>
              <c:f>Graph!$D$3</c:f>
              <c:strCache>
                <c:ptCount val="1"/>
                <c:pt idx="0">
                  <c:v>DCDC output</c:v>
                </c:pt>
              </c:strCache>
            </c:strRef>
          </c:tx>
          <c:spPr>
            <a:ln w="19050" cap="rnd">
              <a:solidFill>
                <a:schemeClr val="accent3"/>
              </a:solidFill>
              <a:round/>
            </a:ln>
            <a:effectLst/>
          </c:spPr>
          <c:marker>
            <c:symbol val="none"/>
          </c:marker>
          <c:xVal>
            <c:numRef>
              <c:f>Graph!$A$4:$A$15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Graph!$D$4:$D$15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1427-4E0D-9057-2FCECEEFFA38}"/>
            </c:ext>
          </c:extLst>
        </c:ser>
        <c:dLbls>
          <c:showLegendKey val="0"/>
          <c:showVal val="0"/>
          <c:showCatName val="0"/>
          <c:showSerName val="0"/>
          <c:showPercent val="0"/>
          <c:showBubbleSize val="0"/>
        </c:dLbls>
        <c:axId val="1923196624"/>
        <c:axId val="1"/>
      </c:scatterChart>
      <c:valAx>
        <c:axId val="1923196624"/>
        <c:scaling>
          <c:orientation val="minMax"/>
          <c:max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majorUnit val="5"/>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96624"/>
        <c:crosses val="autoZero"/>
        <c:crossBetween val="midCat"/>
      </c:valAx>
      <c:spPr>
        <a:noFill/>
        <a:ln w="25400">
          <a:noFill/>
        </a:ln>
      </c:spPr>
    </c:plotArea>
    <c:legend>
      <c:legendPos val="r"/>
      <c:layout>
        <c:manualLayout>
          <c:xMode val="edge"/>
          <c:yMode val="edge"/>
          <c:x val="0.67572289316875933"/>
          <c:y val="0.34275845727617377"/>
          <c:w val="0.31069686812797048"/>
          <c:h val="0.45583305993000872"/>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Mid seasson</a:t>
            </a:r>
          </a:p>
        </c:rich>
      </c:tx>
      <c:overlay val="0"/>
      <c:spPr>
        <a:noFill/>
        <a:ln w="25400">
          <a:noFill/>
        </a:ln>
      </c:spPr>
    </c:title>
    <c:autoTitleDeleted val="0"/>
    <c:plotArea>
      <c:layout/>
      <c:scatterChart>
        <c:scatterStyle val="lineMarker"/>
        <c:varyColors val="0"/>
        <c:ser>
          <c:idx val="0"/>
          <c:order val="0"/>
          <c:tx>
            <c:strRef>
              <c:f>Graph!$G$3</c:f>
              <c:strCache>
                <c:ptCount val="1"/>
                <c:pt idx="0">
                  <c:v>Base
Vehicle global conso (A)</c:v>
                </c:pt>
              </c:strCache>
            </c:strRef>
          </c:tx>
          <c:spPr>
            <a:ln w="19050" cap="rnd">
              <a:solidFill>
                <a:schemeClr val="accent1"/>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Graph!$G$4:$G$15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56D1-4209-A653-DFFF3F624AC1}"/>
            </c:ext>
          </c:extLst>
        </c:ser>
        <c:ser>
          <c:idx val="1"/>
          <c:order val="1"/>
          <c:tx>
            <c:strRef>
              <c:f>Graph!$H$3</c:f>
              <c:strCache>
                <c:ptCount val="1"/>
                <c:pt idx="0">
                  <c:v>Upper
Vehicle global conso (A)</c:v>
                </c:pt>
              </c:strCache>
            </c:strRef>
          </c:tx>
          <c:spPr>
            <a:ln w="19050" cap="rnd">
              <a:solidFill>
                <a:schemeClr val="accent2"/>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Graph!$H$4:$H$15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1-56D1-4209-A653-DFFF3F624AC1}"/>
            </c:ext>
          </c:extLst>
        </c:ser>
        <c:ser>
          <c:idx val="2"/>
          <c:order val="2"/>
          <c:tx>
            <c:strRef>
              <c:f>Graph!$I$3</c:f>
              <c:strCache>
                <c:ptCount val="1"/>
                <c:pt idx="0">
                  <c:v>DCDC output</c:v>
                </c:pt>
              </c:strCache>
            </c:strRef>
          </c:tx>
          <c:spPr>
            <a:ln w="19050" cap="rnd">
              <a:solidFill>
                <a:schemeClr val="accent3"/>
              </a:solidFill>
              <a:round/>
            </a:ln>
            <a:effectLst/>
          </c:spPr>
          <c:marker>
            <c:symbol val="none"/>
          </c:marker>
          <c:xVal>
            <c:numRef>
              <c:f>Graph!$F$4:$F$15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Graph!$I$4:$I$15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56D1-4209-A653-DFFF3F624AC1}"/>
            </c:ext>
          </c:extLst>
        </c:ser>
        <c:dLbls>
          <c:showLegendKey val="0"/>
          <c:showVal val="0"/>
          <c:showCatName val="0"/>
          <c:showSerName val="0"/>
          <c:showPercent val="0"/>
          <c:showBubbleSize val="0"/>
        </c:dLbls>
        <c:axId val="1923198064"/>
        <c:axId val="1"/>
      </c:scatterChart>
      <c:valAx>
        <c:axId val="192319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98064"/>
        <c:crosses val="autoZero"/>
        <c:crossBetween val="midCat"/>
      </c:valAx>
      <c:spPr>
        <a:noFill/>
        <a:ln w="25400">
          <a:noFill/>
        </a:ln>
      </c:spPr>
    </c:plotArea>
    <c:legend>
      <c:legendPos val="r"/>
      <c:layout>
        <c:manualLayout>
          <c:xMode val="edge"/>
          <c:yMode val="edge"/>
          <c:x val="0.67350460429734416"/>
          <c:y val="0.33916177843541367"/>
          <c:w val="0.31282063259041781"/>
          <c:h val="0.45104986876640424"/>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Summer</a:t>
            </a:r>
          </a:p>
        </c:rich>
      </c:tx>
      <c:overlay val="0"/>
      <c:spPr>
        <a:noFill/>
        <a:ln w="25400">
          <a:noFill/>
        </a:ln>
      </c:spPr>
    </c:title>
    <c:autoTitleDeleted val="0"/>
    <c:plotArea>
      <c:layout>
        <c:manualLayout>
          <c:layoutTarget val="inner"/>
          <c:xMode val="edge"/>
          <c:yMode val="edge"/>
          <c:x val="8.2783132731073406E-2"/>
          <c:y val="0.20190209790209793"/>
          <c:w val="0.57358118616677223"/>
          <c:h val="0.662722977809592"/>
        </c:manualLayout>
      </c:layout>
      <c:scatterChart>
        <c:scatterStyle val="lineMarker"/>
        <c:varyColors val="0"/>
        <c:ser>
          <c:idx val="0"/>
          <c:order val="0"/>
          <c:tx>
            <c:strRef>
              <c:f>Graph!$L$3</c:f>
              <c:strCache>
                <c:ptCount val="1"/>
                <c:pt idx="0">
                  <c:v>Base
Vehicle global conso (A)</c:v>
                </c:pt>
              </c:strCache>
            </c:strRef>
          </c:tx>
          <c:spPr>
            <a:ln w="19050" cap="rnd">
              <a:solidFill>
                <a:schemeClr val="accent1"/>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Graph!$L$4:$L$15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AE81-4CC6-B138-D733B33F0EE0}"/>
            </c:ext>
          </c:extLst>
        </c:ser>
        <c:ser>
          <c:idx val="1"/>
          <c:order val="1"/>
          <c:tx>
            <c:strRef>
              <c:f>Graph!$M$3</c:f>
              <c:strCache>
                <c:ptCount val="1"/>
                <c:pt idx="0">
                  <c:v>Upper
Vehicle global conso (A)</c:v>
                </c:pt>
              </c:strCache>
            </c:strRef>
          </c:tx>
          <c:spPr>
            <a:ln w="19050" cap="rnd">
              <a:solidFill>
                <a:schemeClr val="accent2"/>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Graph!$M$4:$M$15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1-AE81-4CC6-B138-D733B33F0EE0}"/>
            </c:ext>
          </c:extLst>
        </c:ser>
        <c:ser>
          <c:idx val="2"/>
          <c:order val="2"/>
          <c:tx>
            <c:strRef>
              <c:f>Graph!$N$3</c:f>
              <c:strCache>
                <c:ptCount val="1"/>
                <c:pt idx="0">
                  <c:v>DCDC output</c:v>
                </c:pt>
              </c:strCache>
            </c:strRef>
          </c:tx>
          <c:spPr>
            <a:ln w="19050" cap="rnd">
              <a:solidFill>
                <a:schemeClr val="accent3"/>
              </a:solidFill>
              <a:round/>
            </a:ln>
            <a:effectLst/>
          </c:spPr>
          <c:marker>
            <c:symbol val="none"/>
          </c:marker>
          <c:xVal>
            <c:numRef>
              <c:f>Graph!$K$4:$K$15</c:f>
              <c:numCache>
                <c:formatCode>General</c:formatCode>
                <c:ptCount val="12"/>
                <c:pt idx="0">
                  <c:v>0</c:v>
                </c:pt>
                <c:pt idx="1">
                  <c:v>5</c:v>
                </c:pt>
                <c:pt idx="2" formatCode="0">
                  <c:v>5</c:v>
                </c:pt>
                <c:pt idx="3" formatCode="0">
                  <c:v>10</c:v>
                </c:pt>
                <c:pt idx="4">
                  <c:v>10</c:v>
                </c:pt>
                <c:pt idx="5" formatCode="0">
                  <c:v>15</c:v>
                </c:pt>
                <c:pt idx="6" formatCode="0">
                  <c:v>15</c:v>
                </c:pt>
                <c:pt idx="7">
                  <c:v>15</c:v>
                </c:pt>
                <c:pt idx="8" formatCode="0">
                  <c:v>25</c:v>
                </c:pt>
                <c:pt idx="9" formatCode="0">
                  <c:v>25</c:v>
                </c:pt>
                <c:pt idx="10">
                  <c:v>25</c:v>
                </c:pt>
                <c:pt idx="11">
                  <c:v>30</c:v>
                </c:pt>
              </c:numCache>
            </c:numRef>
          </c:xVal>
          <c:yVal>
            <c:numRef>
              <c:f>Graph!$N$4:$N$15</c:f>
              <c:numCache>
                <c:formatCode>0</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AE81-4CC6-B138-D733B33F0EE0}"/>
            </c:ext>
          </c:extLst>
        </c:ser>
        <c:dLbls>
          <c:showLegendKey val="0"/>
          <c:showVal val="0"/>
          <c:showCatName val="0"/>
          <c:showSerName val="0"/>
          <c:showPercent val="0"/>
          <c:showBubbleSize val="0"/>
        </c:dLbls>
        <c:axId val="1923187504"/>
        <c:axId val="1"/>
      </c:scatterChart>
      <c:valAx>
        <c:axId val="1923187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923187504"/>
        <c:crosses val="autoZero"/>
        <c:crossBetween val="midCat"/>
      </c:valAx>
      <c:spPr>
        <a:noFill/>
        <a:ln w="25400">
          <a:noFill/>
        </a:ln>
      </c:spPr>
    </c:plotArea>
    <c:legend>
      <c:legendPos val="r"/>
      <c:layout>
        <c:manualLayout>
          <c:xMode val="edge"/>
          <c:yMode val="edge"/>
          <c:x val="0.6666678098164559"/>
          <c:y val="0.33916177843541367"/>
          <c:w val="0.31937227358775278"/>
          <c:h val="0.45104986876640424"/>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sz="1400" b="0" i="0" u="none" strike="noStrike" baseline="0">
                <a:effectLst/>
              </a:rPr>
              <a:t>WINTER</a:t>
            </a:r>
            <a:endParaRPr lang="fr-FR"/>
          </a:p>
        </c:rich>
      </c:tx>
      <c:layout>
        <c:manualLayout>
          <c:xMode val="edge"/>
          <c:yMode val="edge"/>
          <c:x val="0.42119355560819871"/>
          <c:y val="2.7034411138970545E-2"/>
        </c:manualLayout>
      </c:layout>
      <c:overlay val="0"/>
      <c:spPr>
        <a:noFill/>
        <a:ln w="25400">
          <a:noFill/>
        </a:ln>
      </c:spPr>
    </c:title>
    <c:autoTitleDeleted val="0"/>
    <c:plotArea>
      <c:layout>
        <c:manualLayout>
          <c:layoutTarget val="inner"/>
          <c:xMode val="edge"/>
          <c:yMode val="edge"/>
          <c:x val="8.085786130170107E-2"/>
          <c:y val="0.12326633068749472"/>
          <c:w val="0.87994258171229689"/>
          <c:h val="0.69331792469890285"/>
        </c:manualLayout>
      </c:layout>
      <c:scatterChart>
        <c:scatterStyle val="lineMarker"/>
        <c:varyColors val="0"/>
        <c:ser>
          <c:idx val="1"/>
          <c:order val="0"/>
          <c:tx>
            <c:strRef>
              <c:f>'Graph -7°C'!$C$10</c:f>
              <c:strCache>
                <c:ptCount val="1"/>
                <c:pt idx="0">
                  <c:v>Upper
Vehicle global conso (A)</c:v>
                </c:pt>
              </c:strCache>
            </c:strRef>
          </c:tx>
          <c:spPr>
            <a:ln w="31750" cap="rnd">
              <a:solidFill>
                <a:srgbClr val="FF0000"/>
              </a:solidFill>
              <a:round/>
            </a:ln>
            <a:effectLst/>
          </c:spPr>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-7°C'!$C$11:$C$24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0-D49C-47F4-81DF-D40C0A412AE5}"/>
            </c:ext>
          </c:extLst>
        </c:ser>
        <c:ser>
          <c:idx val="2"/>
          <c:order val="1"/>
          <c:tx>
            <c:strRef>
              <c:f>'Graph -7°C'!$D$10</c:f>
              <c:strCache>
                <c:ptCount val="1"/>
                <c:pt idx="0">
                  <c:v>DCDC output</c:v>
                </c:pt>
              </c:strCache>
            </c:strRef>
          </c:tx>
          <c:spPr>
            <a:ln w="31750" cap="rnd">
              <a:solidFill>
                <a:srgbClr val="00B050"/>
              </a:solidFill>
              <a:round/>
            </a:ln>
            <a:effectLst/>
          </c:spPr>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-7°C'!$D$11:$D$24</c:f>
              <c:numCache>
                <c:formatCode>0</c:formatCode>
                <c:ptCount val="14"/>
                <c:pt idx="0">
                  <c:v>250</c:v>
                </c:pt>
                <c:pt idx="1">
                  <c:v>250</c:v>
                </c:pt>
                <c:pt idx="2">
                  <c:v>250</c:v>
                </c:pt>
                <c:pt idx="3">
                  <c:v>250</c:v>
                </c:pt>
                <c:pt idx="4">
                  <c:v>250</c:v>
                </c:pt>
                <c:pt idx="5">
                  <c:v>250</c:v>
                </c:pt>
                <c:pt idx="6">
                  <c:v>250</c:v>
                </c:pt>
                <c:pt idx="7">
                  <c:v>250</c:v>
                </c:pt>
                <c:pt idx="8">
                  <c:v>250</c:v>
                </c:pt>
                <c:pt idx="9">
                  <c:v>250</c:v>
                </c:pt>
                <c:pt idx="10">
                  <c:v>250</c:v>
                </c:pt>
                <c:pt idx="11">
                  <c:v>250</c:v>
                </c:pt>
                <c:pt idx="12">
                  <c:v>250</c:v>
                </c:pt>
                <c:pt idx="13">
                  <c:v>250</c:v>
                </c:pt>
              </c:numCache>
            </c:numRef>
          </c:yVal>
          <c:smooth val="0"/>
          <c:extLst>
            <c:ext xmlns:c16="http://schemas.microsoft.com/office/drawing/2014/chart" uri="{C3380CC4-5D6E-409C-BE32-E72D297353CC}">
              <c16:uniqueId val="{00000001-D49C-47F4-81DF-D40C0A412AE5}"/>
            </c:ext>
          </c:extLst>
        </c:ser>
        <c:ser>
          <c:idx val="0"/>
          <c:order val="2"/>
          <c:tx>
            <c:strRef>
              <c:f>'Graph -7°C'!$B$10</c:f>
              <c:strCache>
                <c:ptCount val="1"/>
                <c:pt idx="0">
                  <c:v>Base
Vehicle global conso (A)</c:v>
                </c:pt>
              </c:strCache>
            </c:strRef>
          </c:tx>
          <c:marker>
            <c:symbol val="none"/>
          </c:marker>
          <c:xVal>
            <c:numRef>
              <c:f>'Graph -7°C'!$A$11:$A$24</c:f>
              <c:numCache>
                <c:formatCode>General</c:formatCode>
                <c:ptCount val="14"/>
                <c:pt idx="0">
                  <c:v>0</c:v>
                </c:pt>
                <c:pt idx="1">
                  <c:v>1.67</c:v>
                </c:pt>
                <c:pt idx="2">
                  <c:v>1.67</c:v>
                </c:pt>
                <c:pt idx="3" formatCode="0">
                  <c:v>4</c:v>
                </c:pt>
                <c:pt idx="4">
                  <c:v>4</c:v>
                </c:pt>
                <c:pt idx="5" formatCode="0">
                  <c:v>7</c:v>
                </c:pt>
                <c:pt idx="6" formatCode="0">
                  <c:v>7</c:v>
                </c:pt>
                <c:pt idx="7">
                  <c:v>8.16</c:v>
                </c:pt>
                <c:pt idx="8" formatCode="0">
                  <c:v>8.16</c:v>
                </c:pt>
                <c:pt idx="9" formatCode="0.00">
                  <c:v>12.25</c:v>
                </c:pt>
                <c:pt idx="10">
                  <c:v>12.25</c:v>
                </c:pt>
                <c:pt idx="11">
                  <c:v>25</c:v>
                </c:pt>
                <c:pt idx="12">
                  <c:v>25</c:v>
                </c:pt>
                <c:pt idx="13">
                  <c:v>30</c:v>
                </c:pt>
              </c:numCache>
            </c:numRef>
          </c:xVal>
          <c:yVal>
            <c:numRef>
              <c:f>'Graph -7°C'!$B$11:$B$24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0"/>
          <c:extLst>
            <c:ext xmlns:c16="http://schemas.microsoft.com/office/drawing/2014/chart" uri="{C3380CC4-5D6E-409C-BE32-E72D297353CC}">
              <c16:uniqueId val="{00000002-D49C-47F4-81DF-D40C0A412AE5}"/>
            </c:ext>
          </c:extLst>
        </c:ser>
        <c:dLbls>
          <c:showLegendKey val="0"/>
          <c:showVal val="0"/>
          <c:showCatName val="0"/>
          <c:showSerName val="0"/>
          <c:showPercent val="0"/>
          <c:showBubbleSize val="0"/>
        </c:dLbls>
        <c:axId val="156952391"/>
        <c:axId val="1"/>
      </c:scatterChart>
      <c:valAx>
        <c:axId val="156952391"/>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max val="2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52391"/>
        <c:crosses val="autoZero"/>
        <c:crossBetween val="midCat"/>
        <c:majorUnit val="20"/>
      </c:valAx>
      <c:spPr>
        <a:noFill/>
        <a:ln w="25400">
          <a:noFill/>
        </a:ln>
      </c:spPr>
    </c:plotArea>
    <c:legend>
      <c:legendPos val="r"/>
      <c:layout>
        <c:manualLayout>
          <c:xMode val="edge"/>
          <c:yMode val="edge"/>
          <c:x val="9.1915134650838212E-2"/>
          <c:y val="0.91439856403728292"/>
          <c:w val="0.79798705123217584"/>
          <c:h val="6.8539181013555814E-2"/>
        </c:manualLayout>
      </c:layout>
      <c:overlay val="0"/>
      <c:spPr>
        <a:noFill/>
        <a:ln w="25400">
          <a:noFill/>
        </a:ln>
      </c:spPr>
      <c:txPr>
        <a:bodyPr/>
        <a:lstStyle/>
        <a:p>
          <a:pPr>
            <a:defRPr sz="60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Mid seasson</a:t>
            </a:r>
          </a:p>
        </c:rich>
      </c:tx>
      <c:overlay val="0"/>
      <c:spPr>
        <a:noFill/>
        <a:ln w="25400">
          <a:noFill/>
        </a:ln>
      </c:spPr>
    </c:title>
    <c:autoTitleDeleted val="0"/>
    <c:plotArea>
      <c:layout>
        <c:manualLayout>
          <c:layoutTarget val="inner"/>
          <c:xMode val="edge"/>
          <c:yMode val="edge"/>
          <c:x val="7.2741275192779842E-2"/>
          <c:y val="0.10938476874211028"/>
          <c:w val="0.89583253445483491"/>
          <c:h val="0.72379011615511279"/>
        </c:manualLayout>
      </c:layout>
      <c:scatterChart>
        <c:scatterStyle val="lineMarker"/>
        <c:varyColors val="0"/>
        <c:ser>
          <c:idx val="0"/>
          <c:order val="0"/>
          <c:tx>
            <c:strRef>
              <c:f>'Graph -7°C'!$G$10</c:f>
              <c:strCache>
                <c:ptCount val="1"/>
                <c:pt idx="0">
                  <c:v>Base
Vehicle global conso (A)</c:v>
                </c:pt>
              </c:strCache>
            </c:strRef>
          </c:tx>
          <c:spPr>
            <a:ln w="28575" cap="rnd">
              <a:solidFill>
                <a:schemeClr val="accent1"/>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-7°C'!$G$11:$G$24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CD93-4FE4-8A55-2AB043684E42}"/>
            </c:ext>
          </c:extLst>
        </c:ser>
        <c:ser>
          <c:idx val="1"/>
          <c:order val="1"/>
          <c:tx>
            <c:strRef>
              <c:f>'Graph -7°C'!$H$10</c:f>
              <c:strCache>
                <c:ptCount val="1"/>
                <c:pt idx="0">
                  <c:v>Upper
Vehicle global conso (A)</c:v>
                </c:pt>
              </c:strCache>
            </c:strRef>
          </c:tx>
          <c:spPr>
            <a:ln w="31750" cap="rnd">
              <a:solidFill>
                <a:srgbClr val="FF0000"/>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-7°C'!$H$11:$H$24</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1-CD93-4FE4-8A55-2AB043684E42}"/>
            </c:ext>
          </c:extLst>
        </c:ser>
        <c:ser>
          <c:idx val="2"/>
          <c:order val="2"/>
          <c:tx>
            <c:strRef>
              <c:f>'Graph -7°C'!$I$10</c:f>
              <c:strCache>
                <c:ptCount val="1"/>
                <c:pt idx="0">
                  <c:v>DCDC output</c:v>
                </c:pt>
              </c:strCache>
            </c:strRef>
          </c:tx>
          <c:spPr>
            <a:ln w="31750" cap="rnd">
              <a:solidFill>
                <a:srgbClr val="00B050"/>
              </a:solidFill>
              <a:round/>
            </a:ln>
            <a:effectLst/>
          </c:spPr>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-7°C'!$I$11:$I$24</c:f>
              <c:numCache>
                <c:formatCode>0</c:formatCode>
                <c:ptCount val="14"/>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2-CD93-4FE4-8A55-2AB043684E42}"/>
            </c:ext>
          </c:extLst>
        </c:ser>
        <c:dLbls>
          <c:showLegendKey val="0"/>
          <c:showVal val="0"/>
          <c:showCatName val="0"/>
          <c:showSerName val="0"/>
          <c:showPercent val="0"/>
          <c:showBubbleSize val="0"/>
        </c:dLbls>
        <c:axId val="156965511"/>
        <c:axId val="1"/>
      </c:scatterChart>
      <c:valAx>
        <c:axId val="156965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65511"/>
        <c:crosses val="autoZero"/>
        <c:crossBetween val="midCat"/>
      </c:valAx>
      <c:spPr>
        <a:noFill/>
        <a:ln w="25400">
          <a:noFill/>
        </a:ln>
      </c:spPr>
    </c:plotArea>
    <c:legend>
      <c:legendPos val="r"/>
      <c:layout>
        <c:manualLayout>
          <c:xMode val="edge"/>
          <c:yMode val="edge"/>
          <c:x val="0.15326924938875161"/>
          <c:y val="0.91338054380781108"/>
          <c:w val="0.71683898422811698"/>
          <c:h val="8.3901983056747745E-2"/>
        </c:manualLayout>
      </c:layout>
      <c:overlay val="0"/>
      <c:spPr>
        <a:noFill/>
        <a:ln w="25400">
          <a:noFill/>
        </a:ln>
      </c:spPr>
      <c:txPr>
        <a:bodyPr/>
        <a:lstStyle/>
        <a:p>
          <a:pPr>
            <a:defRPr lang="en-US" sz="600" b="0" i="0" u="none" strike="noStrike" kern="1200"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fr-FR"/>
              <a:t>Summer</a:t>
            </a:r>
          </a:p>
        </c:rich>
      </c:tx>
      <c:overlay val="0"/>
      <c:spPr>
        <a:noFill/>
        <a:ln w="25400">
          <a:noFill/>
        </a:ln>
      </c:spPr>
    </c:title>
    <c:autoTitleDeleted val="0"/>
    <c:plotArea>
      <c:layout>
        <c:manualLayout>
          <c:layoutTarget val="inner"/>
          <c:xMode val="edge"/>
          <c:yMode val="edge"/>
          <c:x val="6.7294153993679273E-2"/>
          <c:y val="0.13992767570720327"/>
          <c:w val="0.8764876114480018"/>
          <c:h val="0.71871813945051877"/>
        </c:manualLayout>
      </c:layout>
      <c:scatterChart>
        <c:scatterStyle val="lineMarker"/>
        <c:varyColors val="0"/>
        <c:ser>
          <c:idx val="1"/>
          <c:order val="0"/>
          <c:tx>
            <c:strRef>
              <c:f>'Graph -7°C'!$M$10</c:f>
              <c:strCache>
                <c:ptCount val="1"/>
                <c:pt idx="0">
                  <c:v>Upper
Vehicle global conso (A)</c:v>
                </c:pt>
              </c:strCache>
            </c:strRef>
          </c:tx>
          <c:spPr>
            <a:ln w="31750" cap="rnd">
              <a:solidFill>
                <a:srgbClr val="FF0000"/>
              </a:solidFill>
              <a:round/>
            </a:ln>
            <a:effectLst/>
          </c:spPr>
          <c:marker>
            <c:symbol val="none"/>
          </c:marker>
          <c:xVal>
            <c:numRef>
              <c:f>'Graph -7°C'!$K$11:$K$30</c:f>
              <c:numCache>
                <c:formatCode>General</c:formatCode>
                <c:ptCount val="20"/>
                <c:pt idx="0">
                  <c:v>0</c:v>
                </c:pt>
                <c:pt idx="1">
                  <c:v>5</c:v>
                </c:pt>
                <c:pt idx="2">
                  <c:v>5</c:v>
                </c:pt>
                <c:pt idx="3">
                  <c:v>7</c:v>
                </c:pt>
                <c:pt idx="4">
                  <c:v>7</c:v>
                </c:pt>
                <c:pt idx="5">
                  <c:v>8.16</c:v>
                </c:pt>
                <c:pt idx="6">
                  <c:v>8.16</c:v>
                </c:pt>
                <c:pt idx="7">
                  <c:v>15</c:v>
                </c:pt>
                <c:pt idx="8">
                  <c:v>15</c:v>
                </c:pt>
                <c:pt idx="9" formatCode="0">
                  <c:v>25</c:v>
                </c:pt>
                <c:pt idx="10" formatCode="0">
                  <c:v>25</c:v>
                </c:pt>
                <c:pt idx="11">
                  <c:v>30</c:v>
                </c:pt>
              </c:numCache>
            </c:numRef>
          </c:xVal>
          <c:yVal>
            <c:numRef>
              <c:f>'Graph -7°C'!$M$11:$M$30</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0-0417-4F43-8098-B6AC4C2103CA}"/>
            </c:ext>
          </c:extLst>
        </c:ser>
        <c:ser>
          <c:idx val="2"/>
          <c:order val="1"/>
          <c:tx>
            <c:strRef>
              <c:f>'Graph -7°C'!$N$10</c:f>
              <c:strCache>
                <c:ptCount val="1"/>
                <c:pt idx="0">
                  <c:v>DCDC output</c:v>
                </c:pt>
              </c:strCache>
            </c:strRef>
          </c:tx>
          <c:spPr>
            <a:ln w="31750" cap="rnd">
              <a:solidFill>
                <a:srgbClr val="00B050"/>
              </a:solidFill>
              <a:round/>
            </a:ln>
            <a:effectLst/>
          </c:spPr>
          <c:marker>
            <c:symbol val="none"/>
          </c:marker>
          <c:xVal>
            <c:numRef>
              <c:f>'Graph -7°C'!$K$11:$K$30</c:f>
              <c:numCache>
                <c:formatCode>General</c:formatCode>
                <c:ptCount val="20"/>
                <c:pt idx="0">
                  <c:v>0</c:v>
                </c:pt>
                <c:pt idx="1">
                  <c:v>5</c:v>
                </c:pt>
                <c:pt idx="2">
                  <c:v>5</c:v>
                </c:pt>
                <c:pt idx="3">
                  <c:v>7</c:v>
                </c:pt>
                <c:pt idx="4">
                  <c:v>7</c:v>
                </c:pt>
                <c:pt idx="5">
                  <c:v>8.16</c:v>
                </c:pt>
                <c:pt idx="6">
                  <c:v>8.16</c:v>
                </c:pt>
                <c:pt idx="7">
                  <c:v>15</c:v>
                </c:pt>
                <c:pt idx="8">
                  <c:v>15</c:v>
                </c:pt>
                <c:pt idx="9" formatCode="0">
                  <c:v>25</c:v>
                </c:pt>
                <c:pt idx="10" formatCode="0">
                  <c:v>25</c:v>
                </c:pt>
                <c:pt idx="11">
                  <c:v>30</c:v>
                </c:pt>
              </c:numCache>
            </c:numRef>
          </c:xVal>
          <c:yVal>
            <c:numRef>
              <c:f>'Graph -7°C'!$N$11:$N$30</c:f>
              <c:numCache>
                <c:formatCode>0</c:formatCode>
                <c:ptCount val="20"/>
                <c:pt idx="0">
                  <c:v>250</c:v>
                </c:pt>
                <c:pt idx="1">
                  <c:v>250</c:v>
                </c:pt>
                <c:pt idx="2">
                  <c:v>250</c:v>
                </c:pt>
                <c:pt idx="3">
                  <c:v>250</c:v>
                </c:pt>
                <c:pt idx="4">
                  <c:v>250</c:v>
                </c:pt>
                <c:pt idx="5">
                  <c:v>250</c:v>
                </c:pt>
                <c:pt idx="6">
                  <c:v>250</c:v>
                </c:pt>
                <c:pt idx="7">
                  <c:v>250</c:v>
                </c:pt>
                <c:pt idx="8">
                  <c:v>250</c:v>
                </c:pt>
                <c:pt idx="9">
                  <c:v>250</c:v>
                </c:pt>
                <c:pt idx="10">
                  <c:v>250</c:v>
                </c:pt>
                <c:pt idx="11">
                  <c:v>250</c:v>
                </c:pt>
              </c:numCache>
            </c:numRef>
          </c:yVal>
          <c:smooth val="0"/>
          <c:extLst>
            <c:ext xmlns:c16="http://schemas.microsoft.com/office/drawing/2014/chart" uri="{C3380CC4-5D6E-409C-BE32-E72D297353CC}">
              <c16:uniqueId val="{00000001-0417-4F43-8098-B6AC4C2103CA}"/>
            </c:ext>
          </c:extLst>
        </c:ser>
        <c:ser>
          <c:idx val="0"/>
          <c:order val="2"/>
          <c:tx>
            <c:strRef>
              <c:f>'Graph -7°C'!$L$10</c:f>
              <c:strCache>
                <c:ptCount val="1"/>
                <c:pt idx="0">
                  <c:v>Base
Vehicle global conso (A)</c:v>
                </c:pt>
              </c:strCache>
            </c:strRef>
          </c:tx>
          <c:marker>
            <c:symbol val="none"/>
          </c:marker>
          <c:xVal>
            <c:numRef>
              <c:f>'Graph -7°C'!$F$11:$F$24</c:f>
              <c:numCache>
                <c:formatCode>General</c:formatCode>
                <c:ptCount val="14"/>
                <c:pt idx="0">
                  <c:v>0</c:v>
                </c:pt>
                <c:pt idx="1">
                  <c:v>5</c:v>
                </c:pt>
                <c:pt idx="2" formatCode="0">
                  <c:v>5</c:v>
                </c:pt>
                <c:pt idx="3" formatCode="0">
                  <c:v>7</c:v>
                </c:pt>
                <c:pt idx="4" formatCode="0">
                  <c:v>7</c:v>
                </c:pt>
                <c:pt idx="5">
                  <c:v>8.16</c:v>
                </c:pt>
                <c:pt idx="6">
                  <c:v>8.16</c:v>
                </c:pt>
                <c:pt idx="7" formatCode="0">
                  <c:v>15</c:v>
                </c:pt>
                <c:pt idx="8">
                  <c:v>15</c:v>
                </c:pt>
                <c:pt idx="9" formatCode="0">
                  <c:v>25</c:v>
                </c:pt>
                <c:pt idx="10" formatCode="0">
                  <c:v>25</c:v>
                </c:pt>
                <c:pt idx="11">
                  <c:v>30</c:v>
                </c:pt>
              </c:numCache>
            </c:numRef>
          </c:xVal>
          <c:yVal>
            <c:numRef>
              <c:f>'Graph -7°C'!$L$11:$L$31</c:f>
              <c:numCache>
                <c:formatCode>0</c:formatCode>
                <c:ptCount val="21"/>
                <c:pt idx="0">
                  <c:v>0</c:v>
                </c:pt>
                <c:pt idx="1">
                  <c:v>0</c:v>
                </c:pt>
                <c:pt idx="2">
                  <c:v>0</c:v>
                </c:pt>
                <c:pt idx="3">
                  <c:v>0</c:v>
                </c:pt>
                <c:pt idx="4">
                  <c:v>0</c:v>
                </c:pt>
                <c:pt idx="5">
                  <c:v>0</c:v>
                </c:pt>
                <c:pt idx="6">
                  <c:v>0</c:v>
                </c:pt>
                <c:pt idx="7">
                  <c:v>0</c:v>
                </c:pt>
                <c:pt idx="8">
                  <c:v>0</c:v>
                </c:pt>
                <c:pt idx="9">
                  <c:v>0</c:v>
                </c:pt>
                <c:pt idx="10">
                  <c:v>0</c:v>
                </c:pt>
                <c:pt idx="11">
                  <c:v>0</c:v>
                </c:pt>
              </c:numCache>
            </c:numRef>
          </c:yVal>
          <c:smooth val="0"/>
          <c:extLst>
            <c:ext xmlns:c16="http://schemas.microsoft.com/office/drawing/2014/chart" uri="{C3380CC4-5D6E-409C-BE32-E72D297353CC}">
              <c16:uniqueId val="{00000002-0417-4F43-8098-B6AC4C2103CA}"/>
            </c:ext>
          </c:extLst>
        </c:ser>
        <c:dLbls>
          <c:showLegendKey val="0"/>
          <c:showVal val="0"/>
          <c:showCatName val="0"/>
          <c:showSerName val="0"/>
          <c:showPercent val="0"/>
          <c:showBubbleSize val="0"/>
        </c:dLbls>
        <c:axId val="156963871"/>
        <c:axId val="1"/>
      </c:scatterChart>
      <c:valAx>
        <c:axId val="156963871"/>
        <c:scaling>
          <c:orientation val="minMax"/>
          <c:max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
        <c:crosses val="autoZero"/>
        <c:crossBetween val="midCat"/>
      </c:valAx>
      <c:valAx>
        <c:axId val="1"/>
        <c:scaling>
          <c:orientation val="minMax"/>
          <c:max val="3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fr-FR"/>
          </a:p>
        </c:txPr>
        <c:crossAx val="156963871"/>
        <c:crosses val="autoZero"/>
        <c:crossBetween val="midCat"/>
      </c:valAx>
      <c:spPr>
        <a:noFill/>
        <a:ln w="25400">
          <a:noFill/>
        </a:ln>
      </c:spPr>
    </c:plotArea>
    <c:legend>
      <c:legendPos val="r"/>
      <c:layout>
        <c:manualLayout>
          <c:xMode val="edge"/>
          <c:yMode val="edge"/>
          <c:x val="0.15763756402696358"/>
          <c:y val="0.92175326830115012"/>
          <c:w val="0.76689749588925982"/>
          <c:h val="7.8246731698849922E-2"/>
        </c:manualLayout>
      </c:layout>
      <c:overlay val="0"/>
      <c:spPr>
        <a:noFill/>
        <a:ln w="25400">
          <a:noFill/>
        </a:ln>
      </c:spPr>
      <c:txPr>
        <a:bodyPr/>
        <a:lstStyle/>
        <a:p>
          <a:pPr>
            <a:defRPr lang="en-US" sz="600" b="0" i="0" u="none" strike="noStrike" kern="1200"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470535</xdr:colOff>
      <xdr:row>5</xdr:row>
      <xdr:rowOff>0</xdr:rowOff>
    </xdr:from>
    <xdr:ext cx="11611655" cy="4734769"/>
    <xdr:sp macro="" textlink="">
      <xdr:nvSpPr>
        <xdr:cNvPr id="2" name="ZoneTexte 1">
          <a:extLst>
            <a:ext uri="{FF2B5EF4-FFF2-40B4-BE49-F238E27FC236}">
              <a16:creationId xmlns:a16="http://schemas.microsoft.com/office/drawing/2014/main" id="{3296038A-E4B1-40FA-AC87-765FE08BF465}"/>
            </a:ext>
          </a:extLst>
        </xdr:cNvPr>
        <xdr:cNvSpPr txBox="1"/>
      </xdr:nvSpPr>
      <xdr:spPr>
        <a:xfrm>
          <a:off x="1264920" y="857250"/>
          <a:ext cx="11611655" cy="4734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100"/>
            <a:t>Cet outil a été défini pour permettre de faire un calcul d'énergie moyenne</a:t>
          </a:r>
          <a:r>
            <a:rPr lang="fr-FR" sz="1100" baseline="0"/>
            <a:t> sur un profil de roulage défini. Ce calcul permet de s'assurer que le bilan energetique reste favorable, meme en cas de devers, tout en respectant les règles RSA, pas de devers à froid et devers limité fct de la taille batterie.</a:t>
          </a:r>
        </a:p>
        <a:p>
          <a:endParaRPr lang="fr-FR" sz="1100" baseline="0"/>
        </a:p>
        <a:p>
          <a:r>
            <a:rPr lang="fr-FR" sz="1100" baseline="0"/>
            <a:t>Trois Profils sont définis :</a:t>
          </a:r>
        </a:p>
        <a:p>
          <a:endParaRPr lang="fr-FR" sz="1100" baseline="0"/>
        </a:p>
        <a:p>
          <a:pPr lvl="1"/>
          <a:r>
            <a:rPr lang="fr-FR" sz="1100" baseline="0"/>
            <a:t>- Pire cas hiver, representatif d'un client qui prend son véhicule tôt le matin en hiver et utilise la touche voir claire (visibilité, chauffage max). </a:t>
          </a:r>
        </a:p>
        <a:p>
          <a:pPr lvl="1"/>
          <a:endParaRPr lang="fr-FR" sz="1100" baseline="0"/>
        </a:p>
        <a:p>
          <a:pPr lvl="1"/>
          <a:r>
            <a:rPr lang="fr-FR" sz="1100" b="1">
              <a:solidFill>
                <a:sysClr val="windowText" lastClr="000000"/>
              </a:solidFill>
            </a:rPr>
            <a:t>- </a:t>
          </a:r>
          <a:r>
            <a:rPr lang="fr-FR" sz="1100" b="0">
              <a:solidFill>
                <a:sysClr val="windowText" lastClr="000000"/>
              </a:solidFill>
            </a:rPr>
            <a:t>Pire cas Mi saison, condition idem au Profil hiver mais avec des conditions de T° plus favorables (fct plus court de certaines fct)</a:t>
          </a:r>
        </a:p>
        <a:p>
          <a:pPr lvl="1"/>
          <a:endParaRPr lang="fr-FR" sz="1100" b="0">
            <a:solidFill>
              <a:sysClr val="windowText" lastClr="000000"/>
            </a:solidFill>
          </a:endParaRPr>
        </a:p>
        <a:p>
          <a:pPr lvl="1"/>
          <a:r>
            <a:rPr lang="fr-FR" sz="1100" b="0">
              <a:solidFill>
                <a:sysClr val="windowText" lastClr="000000"/>
              </a:solidFill>
            </a:rPr>
            <a:t>- Pire cas été, representatif d'un roulage PTMA avec déclenchement des</a:t>
          </a:r>
          <a:r>
            <a:rPr lang="fr-FR" sz="1100" b="0" baseline="0">
              <a:solidFill>
                <a:sysClr val="windowText" lastClr="000000"/>
              </a:solidFill>
            </a:rPr>
            <a:t> éléments de refroidissement (pompe a eau, si elec, et GMV mot a fond)</a:t>
          </a:r>
        </a:p>
        <a:p>
          <a:pPr lvl="0"/>
          <a:endParaRPr lang="fr-FR" sz="1100" b="0" baseline="0">
            <a:solidFill>
              <a:sysClr val="windowText" lastClr="000000"/>
            </a:solidFill>
          </a:endParaRPr>
        </a:p>
        <a:p>
          <a:pPr lvl="0"/>
          <a:r>
            <a:rPr lang="fr-FR" sz="1100" b="0" baseline="0">
              <a:solidFill>
                <a:sysClr val="windowText" lastClr="000000"/>
              </a:solidFill>
            </a:rPr>
            <a:t>Les pourcentages :</a:t>
          </a:r>
        </a:p>
        <a:p>
          <a:pPr lvl="0"/>
          <a:r>
            <a:rPr lang="fr-FR" sz="1100" b="0" baseline="0">
              <a:solidFill>
                <a:sysClr val="windowText" lastClr="000000"/>
              </a:solidFill>
            </a:rPr>
            <a:t>	- en bleus, sont figés et doivent être conservés à l'identique pour tous les Projets. Pour les modifier, il faut un </a:t>
          </a:r>
          <a:r>
            <a:rPr lang="fr-FR" sz="1100" b="1" baseline="0">
              <a:solidFill>
                <a:sysClr val="windowText" lastClr="000000"/>
              </a:solidFill>
            </a:rPr>
            <a:t>one voice Wattman Team</a:t>
          </a:r>
        </a:p>
        <a:p>
          <a:pPr lvl="0"/>
          <a:r>
            <a:rPr lang="fr-FR" sz="1100" b="0" baseline="0">
              <a:solidFill>
                <a:sysClr val="windowText" lastClr="000000"/>
              </a:solidFill>
            </a:rPr>
            <a:t>	- en rouges, sont a adapter au Projet concerné et partagé régulièrement en wattman Team</a:t>
          </a:r>
        </a:p>
        <a:p>
          <a:pPr lvl="0"/>
          <a:endParaRPr lang="fr-FR" sz="1100" b="0" baseline="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aseline="0">
              <a:solidFill>
                <a:schemeClr val="tx1"/>
              </a:solidFill>
              <a:effectLst/>
              <a:latin typeface="+mn-lt"/>
              <a:ea typeface="+mn-ea"/>
              <a:cs typeface="+mn-cs"/>
            </a:rPr>
            <a:t>Les Profils et les taux d'usage définis sont basés sur des RETEX, </a:t>
          </a:r>
          <a:r>
            <a:rPr lang="fr-FR" sz="1100" b="1" baseline="0">
              <a:solidFill>
                <a:srgbClr val="FF0000"/>
              </a:solidFill>
              <a:effectLst/>
              <a:latin typeface="+mn-lt"/>
              <a:ea typeface="+mn-ea"/>
              <a:cs typeface="+mn-cs"/>
            </a:rPr>
            <a:t>ils devront être vérifier avec les différents responsables composants</a:t>
          </a:r>
          <a:r>
            <a:rPr lang="fr-FR" sz="1100" b="0" baseline="0">
              <a:solidFill>
                <a:schemeClr val="tx1"/>
              </a:solidFill>
              <a:effectLst/>
              <a:latin typeface="+mn-lt"/>
              <a:ea typeface="+mn-ea"/>
              <a:cs typeface="+mn-cs"/>
            </a:rPr>
            <a:t>, et le cas échéant être modifié si d'autres consommateurs, susceptibles de modifier le bilan électrique, etaient mis en oeuvre sur le véhicule.</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Les RETEX sont essentiellement basé sur des analyses Europe, il pourrait être judicieux de changer certains taux d'usage pour ajuster le dimensionnement aux usages du pays ciblés</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Par exemple, le Profil été est décliné de jour, peu d'occurence d'avoir des roulages PTMA de nuit avec des conditions de T° élevées en Europe, ce qui n'est pas forcement le cas en Inde!</a:t>
          </a:r>
        </a:p>
        <a:p>
          <a:pPr marL="0" marR="0" lvl="0" indent="0" defTabSz="914400" eaLnBrk="1" fontAlgn="auto" latinLnBrk="0" hangingPunct="1">
            <a:lnSpc>
              <a:spcPct val="100000"/>
            </a:lnSpc>
            <a:spcBef>
              <a:spcPts val="0"/>
            </a:spcBef>
            <a:spcAft>
              <a:spcPts val="0"/>
            </a:spcAft>
            <a:buClrTx/>
            <a:buSzTx/>
            <a:buFontTx/>
            <a:buNone/>
            <a:tabLst/>
            <a:defRPr/>
          </a:pPr>
          <a:r>
            <a:rPr lang="fr-FR" sz="1100" b="0" baseline="0">
              <a:solidFill>
                <a:schemeClr val="tx1"/>
              </a:solidFill>
              <a:effectLst/>
              <a:latin typeface="+mn-lt"/>
              <a:ea typeface="+mn-ea"/>
              <a:cs typeface="+mn-cs"/>
            </a:rPr>
            <a:t>	</a:t>
          </a:r>
          <a:endParaRPr lang="fr-FR">
            <a:effectLst/>
          </a:endParaRPr>
        </a:p>
        <a:p>
          <a:pPr lvl="0"/>
          <a:r>
            <a:rPr lang="fr-FR" sz="1100" b="0" baseline="0">
              <a:solidFill>
                <a:sysClr val="windowText" lastClr="000000"/>
              </a:solidFill>
            </a:rPr>
            <a:t>	</a:t>
          </a:r>
          <a:r>
            <a:rPr lang="fr-FR" sz="1100" b="0" baseline="0">
              <a:solidFill>
                <a:srgbClr val="FF0000"/>
              </a:solidFill>
            </a:rPr>
            <a:t>Toute modification / création de Profil ou de taux d'usage doit être validé one voice wattman Team</a:t>
          </a:r>
        </a:p>
        <a:p>
          <a:pPr lvl="0"/>
          <a:endParaRPr lang="fr-FR" sz="1100" b="0" baseline="0">
            <a:solidFill>
              <a:srgbClr val="FF0000"/>
            </a:solidFill>
          </a:endParaRPr>
        </a:p>
        <a:p>
          <a:pPr lvl="0"/>
          <a:r>
            <a:rPr lang="fr-FR" sz="1100" b="0" baseline="0">
              <a:solidFill>
                <a:sysClr val="windowText" lastClr="000000"/>
              </a:solidFill>
            </a:rPr>
            <a:t>La colonne conso instantanée max correspond à la conso max de l'equipement sur le profil :</a:t>
          </a:r>
        </a:p>
        <a:p>
          <a:pPr lvl="0"/>
          <a:r>
            <a:rPr lang="fr-FR" sz="1100" b="0" baseline="0">
              <a:solidFill>
                <a:sysClr val="windowText" lastClr="000000"/>
              </a:solidFill>
            </a:rPr>
            <a:t>	-  Pour un composant on / off, comme un feux stop, le coef est a 100% en max, alors que pdt le cycle il est a 25, qui correspond au taux d'activation</a:t>
          </a:r>
        </a:p>
        <a:p>
          <a:pPr lvl="0"/>
          <a:r>
            <a:rPr lang="fr-FR" sz="1100" b="0" baseline="0">
              <a:solidFill>
                <a:sysClr val="windowText" lastClr="000000"/>
              </a:solidFill>
            </a:rPr>
            <a:t>	-  Pour un composant piloté (PWM, autre...) le coef correpond au pourcentage max qui est bien la conso max de l'equipement sur le profil.	</a:t>
          </a:r>
        </a:p>
        <a:p>
          <a:pPr lvl="0"/>
          <a:endParaRPr lang="fr-FR" sz="1100" b="0" baseline="0">
            <a:solidFill>
              <a:sysClr val="windowText" lastClr="000000"/>
            </a:solidFill>
          </a:endParaRPr>
        </a:p>
        <a:p>
          <a:pPr lvl="0"/>
          <a:r>
            <a:rPr lang="fr-FR" sz="1100" b="0" baseline="0">
              <a:solidFill>
                <a:sysClr val="windowText" lastClr="000000"/>
              </a:solidFill>
            </a:rPr>
            <a:t>Pour des verifications d'impacts, des hypotheses de fonctionnement de composants.... utiliser l'onglet travail sur lequel les taux d'usage peuvent modifiés a volonté.</a:t>
          </a:r>
        </a:p>
      </xdr:txBody>
    </xdr:sp>
    <xdr:clientData/>
  </xdr:oneCellAnchor>
  <xdr:twoCellAnchor>
    <xdr:from>
      <xdr:col>2</xdr:col>
      <xdr:colOff>46355</xdr:colOff>
      <xdr:row>26</xdr:row>
      <xdr:rowOff>59690</xdr:rowOff>
    </xdr:from>
    <xdr:to>
      <xdr:col>2</xdr:col>
      <xdr:colOff>507242</xdr:colOff>
      <xdr:row>26</xdr:row>
      <xdr:rowOff>97557</xdr:rowOff>
    </xdr:to>
    <xdr:sp macro="" textlink="">
      <xdr:nvSpPr>
        <xdr:cNvPr id="3" name="Flèche : droite 2">
          <a:extLst>
            <a:ext uri="{FF2B5EF4-FFF2-40B4-BE49-F238E27FC236}">
              <a16:creationId xmlns:a16="http://schemas.microsoft.com/office/drawing/2014/main" id="{B74E9E4B-A46A-4197-93E4-A60D703B7B10}"/>
            </a:ext>
          </a:extLst>
        </xdr:cNvPr>
        <xdr:cNvSpPr/>
      </xdr:nvSpPr>
      <xdr:spPr>
        <a:xfrm>
          <a:off x="1629410" y="4513580"/>
          <a:ext cx="462792" cy="3786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fr-F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175260</xdr:rowOff>
    </xdr:from>
    <xdr:to>
      <xdr:col>4</xdr:col>
      <xdr:colOff>7620</xdr:colOff>
      <xdr:row>28</xdr:row>
      <xdr:rowOff>91440</xdr:rowOff>
    </xdr:to>
    <xdr:graphicFrame macro="">
      <xdr:nvGraphicFramePr>
        <xdr:cNvPr id="2" name="Chart 1">
          <a:extLst>
            <a:ext uri="{FF2B5EF4-FFF2-40B4-BE49-F238E27FC236}">
              <a16:creationId xmlns:a16="http://schemas.microsoft.com/office/drawing/2014/main" id="{8EDEE0BC-D44B-4EF9-B1B9-6AB94E8DD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15</xdr:row>
      <xdr:rowOff>228600</xdr:rowOff>
    </xdr:from>
    <xdr:to>
      <xdr:col>9</xdr:col>
      <xdr:colOff>38100</xdr:colOff>
      <xdr:row>28</xdr:row>
      <xdr:rowOff>297180</xdr:rowOff>
    </xdr:to>
    <xdr:graphicFrame macro="">
      <xdr:nvGraphicFramePr>
        <xdr:cNvPr id="3" name="Chart 2">
          <a:extLst>
            <a:ext uri="{FF2B5EF4-FFF2-40B4-BE49-F238E27FC236}">
              <a16:creationId xmlns:a16="http://schemas.microsoft.com/office/drawing/2014/main" id="{C2EC2F83-D912-4617-B9AB-126D6406D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15</xdr:row>
      <xdr:rowOff>205740</xdr:rowOff>
    </xdr:from>
    <xdr:to>
      <xdr:col>13</xdr:col>
      <xdr:colOff>2263140</xdr:colOff>
      <xdr:row>28</xdr:row>
      <xdr:rowOff>297180</xdr:rowOff>
    </xdr:to>
    <xdr:graphicFrame macro="">
      <xdr:nvGraphicFramePr>
        <xdr:cNvPr id="4" name="Chart 3">
          <a:extLst>
            <a:ext uri="{FF2B5EF4-FFF2-40B4-BE49-F238E27FC236}">
              <a16:creationId xmlns:a16="http://schemas.microsoft.com/office/drawing/2014/main" id="{0A5882F9-8528-4EB2-9B6C-2DB81E82D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719667</xdr:colOff>
      <xdr:row>1</xdr:row>
      <xdr:rowOff>12488</xdr:rowOff>
    </xdr:from>
    <xdr:to>
      <xdr:col>8</xdr:col>
      <xdr:colOff>422</xdr:colOff>
      <xdr:row>5</xdr:row>
      <xdr:rowOff>53976</xdr:rowOff>
    </xdr:to>
    <xdr:pic>
      <xdr:nvPicPr>
        <xdr:cNvPr id="2" name="Image 1">
          <a:extLst>
            <a:ext uri="{FF2B5EF4-FFF2-40B4-BE49-F238E27FC236}">
              <a16:creationId xmlns:a16="http://schemas.microsoft.com/office/drawing/2014/main" id="{6E555D44-7919-4C9C-8C44-5FAAA3C67D25}"/>
            </a:ext>
          </a:extLst>
        </xdr:cNvPr>
        <xdr:cNvPicPr>
          <a:picLocks noChangeAspect="1"/>
        </xdr:cNvPicPr>
      </xdr:nvPicPr>
      <xdr:blipFill rotWithShape="1">
        <a:blip xmlns:r="http://schemas.openxmlformats.org/officeDocument/2006/relationships" r:embed="rId1"/>
        <a:srcRect l="21260" t="18731"/>
        <a:stretch/>
      </xdr:blipFill>
      <xdr:spPr>
        <a:xfrm>
          <a:off x="4762500" y="160655"/>
          <a:ext cx="2795904" cy="10189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24</xdr:row>
      <xdr:rowOff>60642</xdr:rowOff>
    </xdr:from>
    <xdr:to>
      <xdr:col>4</xdr:col>
      <xdr:colOff>130810</xdr:colOff>
      <xdr:row>43</xdr:row>
      <xdr:rowOff>60959</xdr:rowOff>
    </xdr:to>
    <xdr:graphicFrame macro="">
      <xdr:nvGraphicFramePr>
        <xdr:cNvPr id="2" name="Chart 1">
          <a:extLst>
            <a:ext uri="{FF2B5EF4-FFF2-40B4-BE49-F238E27FC236}">
              <a16:creationId xmlns:a16="http://schemas.microsoft.com/office/drawing/2014/main" id="{FB26D59D-179E-4D41-A944-AF1FB004E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325437</xdr:colOff>
      <xdr:row>24</xdr:row>
      <xdr:rowOff>20638</xdr:rowOff>
    </xdr:from>
    <xdr:to>
      <xdr:col>9</xdr:col>
      <xdr:colOff>281940</xdr:colOff>
      <xdr:row>43</xdr:row>
      <xdr:rowOff>15875</xdr:rowOff>
    </xdr:to>
    <xdr:graphicFrame macro="">
      <xdr:nvGraphicFramePr>
        <xdr:cNvPr id="3" name="Chart 2">
          <a:extLst>
            <a:ext uri="{FF2B5EF4-FFF2-40B4-BE49-F238E27FC236}">
              <a16:creationId xmlns:a16="http://schemas.microsoft.com/office/drawing/2014/main" id="{8E95FD02-111B-47FD-A4F4-7ABE84B81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321308</xdr:colOff>
      <xdr:row>24</xdr:row>
      <xdr:rowOff>23813</xdr:rowOff>
    </xdr:from>
    <xdr:to>
      <xdr:col>13</xdr:col>
      <xdr:colOff>968692</xdr:colOff>
      <xdr:row>43</xdr:row>
      <xdr:rowOff>316</xdr:rowOff>
    </xdr:to>
    <xdr:graphicFrame macro="">
      <xdr:nvGraphicFramePr>
        <xdr:cNvPr id="4" name="Chart 3">
          <a:extLst>
            <a:ext uri="{FF2B5EF4-FFF2-40B4-BE49-F238E27FC236}">
              <a16:creationId xmlns:a16="http://schemas.microsoft.com/office/drawing/2014/main" id="{7A19E564-A083-4402-BE50-786CF2BC8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722312</xdr:colOff>
      <xdr:row>0</xdr:row>
      <xdr:rowOff>172721</xdr:rowOff>
    </xdr:from>
    <xdr:to>
      <xdr:col>8</xdr:col>
      <xdr:colOff>131127</xdr:colOff>
      <xdr:row>6</xdr:row>
      <xdr:rowOff>161080</xdr:rowOff>
    </xdr:to>
    <xdr:pic>
      <xdr:nvPicPr>
        <xdr:cNvPr id="5" name="Image 4">
          <a:extLst>
            <a:ext uri="{FF2B5EF4-FFF2-40B4-BE49-F238E27FC236}">
              <a16:creationId xmlns:a16="http://schemas.microsoft.com/office/drawing/2014/main" id="{81CE695E-CC8F-4CA2-9991-ED79F81C7E0F}"/>
            </a:ext>
          </a:extLst>
        </xdr:cNvPr>
        <xdr:cNvPicPr>
          <a:picLocks noChangeAspect="1"/>
        </xdr:cNvPicPr>
      </xdr:nvPicPr>
      <xdr:blipFill rotWithShape="1">
        <a:blip xmlns:r="http://schemas.openxmlformats.org/officeDocument/2006/relationships" r:embed="rId4"/>
        <a:srcRect l="21260" t="18731"/>
        <a:stretch/>
      </xdr:blipFill>
      <xdr:spPr>
        <a:xfrm>
          <a:off x="5746750" y="172721"/>
          <a:ext cx="2784475" cy="103229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4DA6-C6B8-4ED0-900E-4ED6FECE7328}">
  <dimension ref="B1:F24"/>
  <sheetViews>
    <sheetView workbookViewId="0">
      <selection activeCell="D10" sqref="D10"/>
    </sheetView>
  </sheetViews>
  <sheetFormatPr baseColWidth="10" defaultColWidth="8.81640625" defaultRowHeight="13" x14ac:dyDescent="0.3"/>
  <cols>
    <col min="1" max="2" width="8.81640625" style="170" customWidth="1"/>
    <col min="3" max="3" width="16.1796875" style="170" customWidth="1"/>
    <col min="4" max="4" width="88" style="170" customWidth="1"/>
    <col min="5" max="5" width="12.26953125" style="170" customWidth="1"/>
    <col min="6" max="6" width="14" style="170" customWidth="1"/>
    <col min="7" max="258" width="8.81640625" style="170"/>
    <col min="259" max="259" width="16.1796875" style="170" customWidth="1"/>
    <col min="260" max="260" width="88" style="170" customWidth="1"/>
    <col min="261" max="261" width="12.26953125" style="170" customWidth="1"/>
    <col min="262" max="262" width="14" style="170" customWidth="1"/>
    <col min="263" max="514" width="8.81640625" style="170"/>
    <col min="515" max="515" width="16.1796875" style="170" customWidth="1"/>
    <col min="516" max="516" width="88" style="170" customWidth="1"/>
    <col min="517" max="517" width="12.26953125" style="170" customWidth="1"/>
    <col min="518" max="518" width="14" style="170" customWidth="1"/>
    <col min="519" max="770" width="8.81640625" style="170"/>
    <col min="771" max="771" width="16.1796875" style="170" customWidth="1"/>
    <col min="772" max="772" width="88" style="170" customWidth="1"/>
    <col min="773" max="773" width="12.26953125" style="170" customWidth="1"/>
    <col min="774" max="774" width="14" style="170" customWidth="1"/>
    <col min="775" max="1026" width="8.81640625" style="170"/>
    <col min="1027" max="1027" width="16.1796875" style="170" customWidth="1"/>
    <col min="1028" max="1028" width="88" style="170" customWidth="1"/>
    <col min="1029" max="1029" width="12.26953125" style="170" customWidth="1"/>
    <col min="1030" max="1030" width="14" style="170" customWidth="1"/>
    <col min="1031" max="1282" width="8.81640625" style="170"/>
    <col min="1283" max="1283" width="16.1796875" style="170" customWidth="1"/>
    <col min="1284" max="1284" width="88" style="170" customWidth="1"/>
    <col min="1285" max="1285" width="12.26953125" style="170" customWidth="1"/>
    <col min="1286" max="1286" width="14" style="170" customWidth="1"/>
    <col min="1287" max="1538" width="8.81640625" style="170"/>
    <col min="1539" max="1539" width="16.1796875" style="170" customWidth="1"/>
    <col min="1540" max="1540" width="88" style="170" customWidth="1"/>
    <col min="1541" max="1541" width="12.26953125" style="170" customWidth="1"/>
    <col min="1542" max="1542" width="14" style="170" customWidth="1"/>
    <col min="1543" max="1794" width="8.81640625" style="170"/>
    <col min="1795" max="1795" width="16.1796875" style="170" customWidth="1"/>
    <col min="1796" max="1796" width="88" style="170" customWidth="1"/>
    <col min="1797" max="1797" width="12.26953125" style="170" customWidth="1"/>
    <col min="1798" max="1798" width="14" style="170" customWidth="1"/>
    <col min="1799" max="2050" width="8.81640625" style="170"/>
    <col min="2051" max="2051" width="16.1796875" style="170" customWidth="1"/>
    <col min="2052" max="2052" width="88" style="170" customWidth="1"/>
    <col min="2053" max="2053" width="12.26953125" style="170" customWidth="1"/>
    <col min="2054" max="2054" width="14" style="170" customWidth="1"/>
    <col min="2055" max="2306" width="8.81640625" style="170"/>
    <col min="2307" max="2307" width="16.1796875" style="170" customWidth="1"/>
    <col min="2308" max="2308" width="88" style="170" customWidth="1"/>
    <col min="2309" max="2309" width="12.26953125" style="170" customWidth="1"/>
    <col min="2310" max="2310" width="14" style="170" customWidth="1"/>
    <col min="2311" max="2562" width="8.81640625" style="170"/>
    <col min="2563" max="2563" width="16.1796875" style="170" customWidth="1"/>
    <col min="2564" max="2564" width="88" style="170" customWidth="1"/>
    <col min="2565" max="2565" width="12.26953125" style="170" customWidth="1"/>
    <col min="2566" max="2566" width="14" style="170" customWidth="1"/>
    <col min="2567" max="2818" width="8.81640625" style="170"/>
    <col min="2819" max="2819" width="16.1796875" style="170" customWidth="1"/>
    <col min="2820" max="2820" width="88" style="170" customWidth="1"/>
    <col min="2821" max="2821" width="12.26953125" style="170" customWidth="1"/>
    <col min="2822" max="2822" width="14" style="170" customWidth="1"/>
    <col min="2823" max="3074" width="8.81640625" style="170"/>
    <col min="3075" max="3075" width="16.1796875" style="170" customWidth="1"/>
    <col min="3076" max="3076" width="88" style="170" customWidth="1"/>
    <col min="3077" max="3077" width="12.26953125" style="170" customWidth="1"/>
    <col min="3078" max="3078" width="14" style="170" customWidth="1"/>
    <col min="3079" max="3330" width="8.81640625" style="170"/>
    <col min="3331" max="3331" width="16.1796875" style="170" customWidth="1"/>
    <col min="3332" max="3332" width="88" style="170" customWidth="1"/>
    <col min="3333" max="3333" width="12.26953125" style="170" customWidth="1"/>
    <col min="3334" max="3334" width="14" style="170" customWidth="1"/>
    <col min="3335" max="3586" width="8.81640625" style="170"/>
    <col min="3587" max="3587" width="16.1796875" style="170" customWidth="1"/>
    <col min="3588" max="3588" width="88" style="170" customWidth="1"/>
    <col min="3589" max="3589" width="12.26953125" style="170" customWidth="1"/>
    <col min="3590" max="3590" width="14" style="170" customWidth="1"/>
    <col min="3591" max="3842" width="8.81640625" style="170"/>
    <col min="3843" max="3843" width="16.1796875" style="170" customWidth="1"/>
    <col min="3844" max="3844" width="88" style="170" customWidth="1"/>
    <col min="3845" max="3845" width="12.26953125" style="170" customWidth="1"/>
    <col min="3846" max="3846" width="14" style="170" customWidth="1"/>
    <col min="3847" max="4098" width="8.81640625" style="170"/>
    <col min="4099" max="4099" width="16.1796875" style="170" customWidth="1"/>
    <col min="4100" max="4100" width="88" style="170" customWidth="1"/>
    <col min="4101" max="4101" width="12.26953125" style="170" customWidth="1"/>
    <col min="4102" max="4102" width="14" style="170" customWidth="1"/>
    <col min="4103" max="4354" width="8.81640625" style="170"/>
    <col min="4355" max="4355" width="16.1796875" style="170" customWidth="1"/>
    <col min="4356" max="4356" width="88" style="170" customWidth="1"/>
    <col min="4357" max="4357" width="12.26953125" style="170" customWidth="1"/>
    <col min="4358" max="4358" width="14" style="170" customWidth="1"/>
    <col min="4359" max="4610" width="8.81640625" style="170"/>
    <col min="4611" max="4611" width="16.1796875" style="170" customWidth="1"/>
    <col min="4612" max="4612" width="88" style="170" customWidth="1"/>
    <col min="4613" max="4613" width="12.26953125" style="170" customWidth="1"/>
    <col min="4614" max="4614" width="14" style="170" customWidth="1"/>
    <col min="4615" max="4866" width="8.81640625" style="170"/>
    <col min="4867" max="4867" width="16.1796875" style="170" customWidth="1"/>
    <col min="4868" max="4868" width="88" style="170" customWidth="1"/>
    <col min="4869" max="4869" width="12.26953125" style="170" customWidth="1"/>
    <col min="4870" max="4870" width="14" style="170" customWidth="1"/>
    <col min="4871" max="5122" width="8.81640625" style="170"/>
    <col min="5123" max="5123" width="16.1796875" style="170" customWidth="1"/>
    <col min="5124" max="5124" width="88" style="170" customWidth="1"/>
    <col min="5125" max="5125" width="12.26953125" style="170" customWidth="1"/>
    <col min="5126" max="5126" width="14" style="170" customWidth="1"/>
    <col min="5127" max="5378" width="8.81640625" style="170"/>
    <col min="5379" max="5379" width="16.1796875" style="170" customWidth="1"/>
    <col min="5380" max="5380" width="88" style="170" customWidth="1"/>
    <col min="5381" max="5381" width="12.26953125" style="170" customWidth="1"/>
    <col min="5382" max="5382" width="14" style="170" customWidth="1"/>
    <col min="5383" max="5634" width="8.81640625" style="170"/>
    <col min="5635" max="5635" width="16.1796875" style="170" customWidth="1"/>
    <col min="5636" max="5636" width="88" style="170" customWidth="1"/>
    <col min="5637" max="5637" width="12.26953125" style="170" customWidth="1"/>
    <col min="5638" max="5638" width="14" style="170" customWidth="1"/>
    <col min="5639" max="5890" width="8.81640625" style="170"/>
    <col min="5891" max="5891" width="16.1796875" style="170" customWidth="1"/>
    <col min="5892" max="5892" width="88" style="170" customWidth="1"/>
    <col min="5893" max="5893" width="12.26953125" style="170" customWidth="1"/>
    <col min="5894" max="5894" width="14" style="170" customWidth="1"/>
    <col min="5895" max="6146" width="8.81640625" style="170"/>
    <col min="6147" max="6147" width="16.1796875" style="170" customWidth="1"/>
    <col min="6148" max="6148" width="88" style="170" customWidth="1"/>
    <col min="6149" max="6149" width="12.26953125" style="170" customWidth="1"/>
    <col min="6150" max="6150" width="14" style="170" customWidth="1"/>
    <col min="6151" max="6402" width="8.81640625" style="170"/>
    <col min="6403" max="6403" width="16.1796875" style="170" customWidth="1"/>
    <col min="6404" max="6404" width="88" style="170" customWidth="1"/>
    <col min="6405" max="6405" width="12.26953125" style="170" customWidth="1"/>
    <col min="6406" max="6406" width="14" style="170" customWidth="1"/>
    <col min="6407" max="6658" width="8.81640625" style="170"/>
    <col min="6659" max="6659" width="16.1796875" style="170" customWidth="1"/>
    <col min="6660" max="6660" width="88" style="170" customWidth="1"/>
    <col min="6661" max="6661" width="12.26953125" style="170" customWidth="1"/>
    <col min="6662" max="6662" width="14" style="170" customWidth="1"/>
    <col min="6663" max="6914" width="8.81640625" style="170"/>
    <col min="6915" max="6915" width="16.1796875" style="170" customWidth="1"/>
    <col min="6916" max="6916" width="88" style="170" customWidth="1"/>
    <col min="6917" max="6917" width="12.26953125" style="170" customWidth="1"/>
    <col min="6918" max="6918" width="14" style="170" customWidth="1"/>
    <col min="6919" max="7170" width="8.81640625" style="170"/>
    <col min="7171" max="7171" width="16.1796875" style="170" customWidth="1"/>
    <col min="7172" max="7172" width="88" style="170" customWidth="1"/>
    <col min="7173" max="7173" width="12.26953125" style="170" customWidth="1"/>
    <col min="7174" max="7174" width="14" style="170" customWidth="1"/>
    <col min="7175" max="7426" width="8.81640625" style="170"/>
    <col min="7427" max="7427" width="16.1796875" style="170" customWidth="1"/>
    <col min="7428" max="7428" width="88" style="170" customWidth="1"/>
    <col min="7429" max="7429" width="12.26953125" style="170" customWidth="1"/>
    <col min="7430" max="7430" width="14" style="170" customWidth="1"/>
    <col min="7431" max="7682" width="8.81640625" style="170"/>
    <col min="7683" max="7683" width="16.1796875" style="170" customWidth="1"/>
    <col min="7684" max="7684" width="88" style="170" customWidth="1"/>
    <col min="7685" max="7685" width="12.26953125" style="170" customWidth="1"/>
    <col min="7686" max="7686" width="14" style="170" customWidth="1"/>
    <col min="7687" max="7938" width="8.81640625" style="170"/>
    <col min="7939" max="7939" width="16.1796875" style="170" customWidth="1"/>
    <col min="7940" max="7940" width="88" style="170" customWidth="1"/>
    <col min="7941" max="7941" width="12.26953125" style="170" customWidth="1"/>
    <col min="7942" max="7942" width="14" style="170" customWidth="1"/>
    <col min="7943" max="8194" width="8.81640625" style="170"/>
    <col min="8195" max="8195" width="16.1796875" style="170" customWidth="1"/>
    <col min="8196" max="8196" width="88" style="170" customWidth="1"/>
    <col min="8197" max="8197" width="12.26953125" style="170" customWidth="1"/>
    <col min="8198" max="8198" width="14" style="170" customWidth="1"/>
    <col min="8199" max="8450" width="8.81640625" style="170"/>
    <col min="8451" max="8451" width="16.1796875" style="170" customWidth="1"/>
    <col min="8452" max="8452" width="88" style="170" customWidth="1"/>
    <col min="8453" max="8453" width="12.26953125" style="170" customWidth="1"/>
    <col min="8454" max="8454" width="14" style="170" customWidth="1"/>
    <col min="8455" max="8706" width="8.81640625" style="170"/>
    <col min="8707" max="8707" width="16.1796875" style="170" customWidth="1"/>
    <col min="8708" max="8708" width="88" style="170" customWidth="1"/>
    <col min="8709" max="8709" width="12.26953125" style="170" customWidth="1"/>
    <col min="8710" max="8710" width="14" style="170" customWidth="1"/>
    <col min="8711" max="8962" width="8.81640625" style="170"/>
    <col min="8963" max="8963" width="16.1796875" style="170" customWidth="1"/>
    <col min="8964" max="8964" width="88" style="170" customWidth="1"/>
    <col min="8965" max="8965" width="12.26953125" style="170" customWidth="1"/>
    <col min="8966" max="8966" width="14" style="170" customWidth="1"/>
    <col min="8967" max="9218" width="8.81640625" style="170"/>
    <col min="9219" max="9219" width="16.1796875" style="170" customWidth="1"/>
    <col min="9220" max="9220" width="88" style="170" customWidth="1"/>
    <col min="9221" max="9221" width="12.26953125" style="170" customWidth="1"/>
    <col min="9222" max="9222" width="14" style="170" customWidth="1"/>
    <col min="9223" max="9474" width="8.81640625" style="170"/>
    <col min="9475" max="9475" width="16.1796875" style="170" customWidth="1"/>
    <col min="9476" max="9476" width="88" style="170" customWidth="1"/>
    <col min="9477" max="9477" width="12.26953125" style="170" customWidth="1"/>
    <col min="9478" max="9478" width="14" style="170" customWidth="1"/>
    <col min="9479" max="9730" width="8.81640625" style="170"/>
    <col min="9731" max="9731" width="16.1796875" style="170" customWidth="1"/>
    <col min="9732" max="9732" width="88" style="170" customWidth="1"/>
    <col min="9733" max="9733" width="12.26953125" style="170" customWidth="1"/>
    <col min="9734" max="9734" width="14" style="170" customWidth="1"/>
    <col min="9735" max="9986" width="8.81640625" style="170"/>
    <col min="9987" max="9987" width="16.1796875" style="170" customWidth="1"/>
    <col min="9988" max="9988" width="88" style="170" customWidth="1"/>
    <col min="9989" max="9989" width="12.26953125" style="170" customWidth="1"/>
    <col min="9990" max="9990" width="14" style="170" customWidth="1"/>
    <col min="9991" max="10242" width="8.81640625" style="170"/>
    <col min="10243" max="10243" width="16.1796875" style="170" customWidth="1"/>
    <col min="10244" max="10244" width="88" style="170" customWidth="1"/>
    <col min="10245" max="10245" width="12.26953125" style="170" customWidth="1"/>
    <col min="10246" max="10246" width="14" style="170" customWidth="1"/>
    <col min="10247" max="10498" width="8.81640625" style="170"/>
    <col min="10499" max="10499" width="16.1796875" style="170" customWidth="1"/>
    <col min="10500" max="10500" width="88" style="170" customWidth="1"/>
    <col min="10501" max="10501" width="12.26953125" style="170" customWidth="1"/>
    <col min="10502" max="10502" width="14" style="170" customWidth="1"/>
    <col min="10503" max="10754" width="8.81640625" style="170"/>
    <col min="10755" max="10755" width="16.1796875" style="170" customWidth="1"/>
    <col min="10756" max="10756" width="88" style="170" customWidth="1"/>
    <col min="10757" max="10757" width="12.26953125" style="170" customWidth="1"/>
    <col min="10758" max="10758" width="14" style="170" customWidth="1"/>
    <col min="10759" max="11010" width="8.81640625" style="170"/>
    <col min="11011" max="11011" width="16.1796875" style="170" customWidth="1"/>
    <col min="11012" max="11012" width="88" style="170" customWidth="1"/>
    <col min="11013" max="11013" width="12.26953125" style="170" customWidth="1"/>
    <col min="11014" max="11014" width="14" style="170" customWidth="1"/>
    <col min="11015" max="11266" width="8.81640625" style="170"/>
    <col min="11267" max="11267" width="16.1796875" style="170" customWidth="1"/>
    <col min="11268" max="11268" width="88" style="170" customWidth="1"/>
    <col min="11269" max="11269" width="12.26953125" style="170" customWidth="1"/>
    <col min="11270" max="11270" width="14" style="170" customWidth="1"/>
    <col min="11271" max="11522" width="8.81640625" style="170"/>
    <col min="11523" max="11523" width="16.1796875" style="170" customWidth="1"/>
    <col min="11524" max="11524" width="88" style="170" customWidth="1"/>
    <col min="11525" max="11525" width="12.26953125" style="170" customWidth="1"/>
    <col min="11526" max="11526" width="14" style="170" customWidth="1"/>
    <col min="11527" max="11778" width="8.81640625" style="170"/>
    <col min="11779" max="11779" width="16.1796875" style="170" customWidth="1"/>
    <col min="11780" max="11780" width="88" style="170" customWidth="1"/>
    <col min="11781" max="11781" width="12.26953125" style="170" customWidth="1"/>
    <col min="11782" max="11782" width="14" style="170" customWidth="1"/>
    <col min="11783" max="12034" width="8.81640625" style="170"/>
    <col min="12035" max="12035" width="16.1796875" style="170" customWidth="1"/>
    <col min="12036" max="12036" width="88" style="170" customWidth="1"/>
    <col min="12037" max="12037" width="12.26953125" style="170" customWidth="1"/>
    <col min="12038" max="12038" width="14" style="170" customWidth="1"/>
    <col min="12039" max="12290" width="8.81640625" style="170"/>
    <col min="12291" max="12291" width="16.1796875" style="170" customWidth="1"/>
    <col min="12292" max="12292" width="88" style="170" customWidth="1"/>
    <col min="12293" max="12293" width="12.26953125" style="170" customWidth="1"/>
    <col min="12294" max="12294" width="14" style="170" customWidth="1"/>
    <col min="12295" max="12546" width="8.81640625" style="170"/>
    <col min="12547" max="12547" width="16.1796875" style="170" customWidth="1"/>
    <col min="12548" max="12548" width="88" style="170" customWidth="1"/>
    <col min="12549" max="12549" width="12.26953125" style="170" customWidth="1"/>
    <col min="12550" max="12550" width="14" style="170" customWidth="1"/>
    <col min="12551" max="12802" width="8.81640625" style="170"/>
    <col min="12803" max="12803" width="16.1796875" style="170" customWidth="1"/>
    <col min="12804" max="12804" width="88" style="170" customWidth="1"/>
    <col min="12805" max="12805" width="12.26953125" style="170" customWidth="1"/>
    <col min="12806" max="12806" width="14" style="170" customWidth="1"/>
    <col min="12807" max="13058" width="8.81640625" style="170"/>
    <col min="13059" max="13059" width="16.1796875" style="170" customWidth="1"/>
    <col min="13060" max="13060" width="88" style="170" customWidth="1"/>
    <col min="13061" max="13061" width="12.26953125" style="170" customWidth="1"/>
    <col min="13062" max="13062" width="14" style="170" customWidth="1"/>
    <col min="13063" max="13314" width="8.81640625" style="170"/>
    <col min="13315" max="13315" width="16.1796875" style="170" customWidth="1"/>
    <col min="13316" max="13316" width="88" style="170" customWidth="1"/>
    <col min="13317" max="13317" width="12.26953125" style="170" customWidth="1"/>
    <col min="13318" max="13318" width="14" style="170" customWidth="1"/>
    <col min="13319" max="13570" width="8.81640625" style="170"/>
    <col min="13571" max="13571" width="16.1796875" style="170" customWidth="1"/>
    <col min="13572" max="13572" width="88" style="170" customWidth="1"/>
    <col min="13573" max="13573" width="12.26953125" style="170" customWidth="1"/>
    <col min="13574" max="13574" width="14" style="170" customWidth="1"/>
    <col min="13575" max="13826" width="8.81640625" style="170"/>
    <col min="13827" max="13827" width="16.1796875" style="170" customWidth="1"/>
    <col min="13828" max="13828" width="88" style="170" customWidth="1"/>
    <col min="13829" max="13829" width="12.26953125" style="170" customWidth="1"/>
    <col min="13830" max="13830" width="14" style="170" customWidth="1"/>
    <col min="13831" max="14082" width="8.81640625" style="170"/>
    <col min="14083" max="14083" width="16.1796875" style="170" customWidth="1"/>
    <col min="14084" max="14084" width="88" style="170" customWidth="1"/>
    <col min="14085" max="14085" width="12.26953125" style="170" customWidth="1"/>
    <col min="14086" max="14086" width="14" style="170" customWidth="1"/>
    <col min="14087" max="14338" width="8.81640625" style="170"/>
    <col min="14339" max="14339" width="16.1796875" style="170" customWidth="1"/>
    <col min="14340" max="14340" width="88" style="170" customWidth="1"/>
    <col min="14341" max="14341" width="12.26953125" style="170" customWidth="1"/>
    <col min="14342" max="14342" width="14" style="170" customWidth="1"/>
    <col min="14343" max="14594" width="8.81640625" style="170"/>
    <col min="14595" max="14595" width="16.1796875" style="170" customWidth="1"/>
    <col min="14596" max="14596" width="88" style="170" customWidth="1"/>
    <col min="14597" max="14597" width="12.26953125" style="170" customWidth="1"/>
    <col min="14598" max="14598" width="14" style="170" customWidth="1"/>
    <col min="14599" max="14850" width="8.81640625" style="170"/>
    <col min="14851" max="14851" width="16.1796875" style="170" customWidth="1"/>
    <col min="14852" max="14852" width="88" style="170" customWidth="1"/>
    <col min="14853" max="14853" width="12.26953125" style="170" customWidth="1"/>
    <col min="14854" max="14854" width="14" style="170" customWidth="1"/>
    <col min="14855" max="15106" width="8.81640625" style="170"/>
    <col min="15107" max="15107" width="16.1796875" style="170" customWidth="1"/>
    <col min="15108" max="15108" width="88" style="170" customWidth="1"/>
    <col min="15109" max="15109" width="12.26953125" style="170" customWidth="1"/>
    <col min="15110" max="15110" width="14" style="170" customWidth="1"/>
    <col min="15111" max="15362" width="8.81640625" style="170"/>
    <col min="15363" max="15363" width="16.1796875" style="170" customWidth="1"/>
    <col min="15364" max="15364" width="88" style="170" customWidth="1"/>
    <col min="15365" max="15365" width="12.26953125" style="170" customWidth="1"/>
    <col min="15366" max="15366" width="14" style="170" customWidth="1"/>
    <col min="15367" max="15618" width="8.81640625" style="170"/>
    <col min="15619" max="15619" width="16.1796875" style="170" customWidth="1"/>
    <col min="15620" max="15620" width="88" style="170" customWidth="1"/>
    <col min="15621" max="15621" width="12.26953125" style="170" customWidth="1"/>
    <col min="15622" max="15622" width="14" style="170" customWidth="1"/>
    <col min="15623" max="15874" width="8.81640625" style="170"/>
    <col min="15875" max="15875" width="16.1796875" style="170" customWidth="1"/>
    <col min="15876" max="15876" width="88" style="170" customWidth="1"/>
    <col min="15877" max="15877" width="12.26953125" style="170" customWidth="1"/>
    <col min="15878" max="15878" width="14" style="170" customWidth="1"/>
    <col min="15879" max="16130" width="8.81640625" style="170"/>
    <col min="16131" max="16131" width="16.1796875" style="170" customWidth="1"/>
    <col min="16132" max="16132" width="88" style="170" customWidth="1"/>
    <col min="16133" max="16133" width="12.26953125" style="170" customWidth="1"/>
    <col min="16134" max="16134" width="14" style="170" customWidth="1"/>
    <col min="16135" max="16384" width="8.81640625" style="170"/>
  </cols>
  <sheetData>
    <row r="1" spans="2:6" x14ac:dyDescent="0.3">
      <c r="C1" s="171" t="s">
        <v>0</v>
      </c>
      <c r="D1" s="172"/>
      <c r="E1" s="173"/>
    </row>
    <row r="2" spans="2:6" x14ac:dyDescent="0.3">
      <c r="C2" s="171" t="s">
        <v>1</v>
      </c>
      <c r="D2" s="172"/>
      <c r="E2" s="173"/>
    </row>
    <row r="3" spans="2:6" x14ac:dyDescent="0.3">
      <c r="C3" s="171" t="s">
        <v>2</v>
      </c>
      <c r="D3" s="172"/>
      <c r="E3" s="173"/>
    </row>
    <row r="4" spans="2:6" x14ac:dyDescent="0.3">
      <c r="C4" s="171" t="s">
        <v>3</v>
      </c>
      <c r="D4" s="172"/>
      <c r="E4" s="173"/>
    </row>
    <row r="6" spans="2:6" x14ac:dyDescent="0.3">
      <c r="B6" s="174" t="s">
        <v>4</v>
      </c>
      <c r="C6" s="174" t="s">
        <v>5</v>
      </c>
      <c r="D6" s="174" t="s">
        <v>6</v>
      </c>
      <c r="E6" s="174" t="s">
        <v>7</v>
      </c>
      <c r="F6" s="174" t="s">
        <v>8</v>
      </c>
    </row>
    <row r="7" spans="2:6" x14ac:dyDescent="0.3">
      <c r="B7" s="175">
        <v>1</v>
      </c>
      <c r="C7" s="176">
        <v>43749</v>
      </c>
      <c r="D7" s="177" t="s">
        <v>9</v>
      </c>
      <c r="E7" s="177"/>
      <c r="F7" s="178" t="s">
        <v>10</v>
      </c>
    </row>
    <row r="8" spans="2:6" x14ac:dyDescent="0.3">
      <c r="B8" s="175"/>
      <c r="C8" s="175"/>
      <c r="D8" s="175"/>
      <c r="E8" s="175"/>
      <c r="F8" s="175"/>
    </row>
    <row r="9" spans="2:6" x14ac:dyDescent="0.3">
      <c r="B9" s="175"/>
      <c r="C9" s="176">
        <v>45663</v>
      </c>
      <c r="D9" s="175" t="s">
        <v>11</v>
      </c>
      <c r="E9" s="175"/>
      <c r="F9" s="175" t="s">
        <v>12</v>
      </c>
    </row>
    <row r="10" spans="2:6" x14ac:dyDescent="0.3">
      <c r="B10" s="175"/>
      <c r="C10" s="175"/>
      <c r="D10" s="175"/>
      <c r="E10" s="175"/>
      <c r="F10" s="175"/>
    </row>
    <row r="11" spans="2:6" x14ac:dyDescent="0.3">
      <c r="B11" s="175"/>
      <c r="C11" s="175"/>
      <c r="D11" s="175"/>
      <c r="E11" s="175"/>
      <c r="F11" s="175"/>
    </row>
    <row r="12" spans="2:6" x14ac:dyDescent="0.3">
      <c r="B12" s="175"/>
      <c r="C12" s="175"/>
      <c r="D12" s="175"/>
      <c r="E12" s="175"/>
      <c r="F12" s="175"/>
    </row>
    <row r="13" spans="2:6" x14ac:dyDescent="0.3">
      <c r="B13" s="175"/>
      <c r="C13" s="175"/>
      <c r="D13" s="175"/>
      <c r="E13" s="175"/>
      <c r="F13" s="175"/>
    </row>
    <row r="14" spans="2:6" x14ac:dyDescent="0.3">
      <c r="B14" s="175"/>
      <c r="C14" s="175"/>
      <c r="D14" s="175"/>
      <c r="E14" s="175"/>
      <c r="F14" s="175"/>
    </row>
    <row r="15" spans="2:6" x14ac:dyDescent="0.3">
      <c r="B15" s="175"/>
      <c r="C15" s="175"/>
      <c r="D15" s="175"/>
      <c r="E15" s="175"/>
      <c r="F15" s="175"/>
    </row>
    <row r="16" spans="2:6" x14ac:dyDescent="0.3">
      <c r="B16" s="175"/>
      <c r="C16" s="175"/>
      <c r="D16" s="175"/>
      <c r="E16" s="175"/>
      <c r="F16" s="175"/>
    </row>
    <row r="17" spans="2:6" x14ac:dyDescent="0.3">
      <c r="B17" s="175"/>
      <c r="C17" s="175"/>
      <c r="D17" s="175"/>
      <c r="E17" s="175"/>
      <c r="F17" s="175"/>
    </row>
    <row r="18" spans="2:6" x14ac:dyDescent="0.3">
      <c r="B18" s="175"/>
      <c r="C18" s="175"/>
      <c r="D18" s="175"/>
      <c r="E18" s="175"/>
      <c r="F18" s="175"/>
    </row>
    <row r="19" spans="2:6" x14ac:dyDescent="0.3">
      <c r="B19" s="174"/>
      <c r="C19" s="174"/>
      <c r="D19" s="174"/>
      <c r="E19" s="174"/>
      <c r="F19" s="174"/>
    </row>
    <row r="20" spans="2:6" x14ac:dyDescent="0.3">
      <c r="B20" s="174"/>
      <c r="C20" s="174"/>
      <c r="D20" s="174"/>
      <c r="E20" s="174"/>
      <c r="F20" s="174"/>
    </row>
    <row r="21" spans="2:6" x14ac:dyDescent="0.3">
      <c r="B21" s="174"/>
      <c r="C21" s="174"/>
      <c r="D21" s="174"/>
      <c r="E21" s="174"/>
      <c r="F21" s="174"/>
    </row>
    <row r="22" spans="2:6" x14ac:dyDescent="0.3">
      <c r="B22" s="174"/>
      <c r="C22" s="174"/>
      <c r="D22" s="174"/>
      <c r="E22" s="174"/>
      <c r="F22" s="174"/>
    </row>
    <row r="23" spans="2:6" x14ac:dyDescent="0.3">
      <c r="B23" s="174"/>
      <c r="C23" s="174"/>
      <c r="D23" s="174"/>
      <c r="E23" s="174"/>
      <c r="F23" s="174"/>
    </row>
    <row r="24" spans="2:6" x14ac:dyDescent="0.3">
      <c r="B24" s="174"/>
      <c r="C24" s="174"/>
      <c r="D24" s="174"/>
      <c r="E24" s="174"/>
      <c r="F24" s="174"/>
    </row>
  </sheetData>
  <pageMargins left="0.7" right="0.7" top="0.75" bottom="0.75" header="0.3" footer="0.3"/>
  <pageSetup paperSize="9" orientation="portrait" r:id="rId1"/>
  <headerFooter>
    <oddFooter>&amp;R_x000D_&amp;1#&amp;"Arial"&amp;10&amp;K000000 Confidential 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C30E-820F-490F-9EF7-E96851B4015A}">
  <dimension ref="A1"/>
  <sheetViews>
    <sheetView showGridLines="0" workbookViewId="0">
      <selection activeCell="C32" sqref="C32"/>
    </sheetView>
  </sheetViews>
  <sheetFormatPr baseColWidth="10" defaultColWidth="11.54296875" defaultRowHeight="12.5" x14ac:dyDescent="0.25"/>
  <cols>
    <col min="1" max="16384" width="11.54296875" style="165"/>
  </cols>
  <sheetData/>
  <pageMargins left="0.7" right="0.7" top="0.75" bottom="0.75" header="0.3" footer="0.3"/>
  <pageSetup paperSize="9" orientation="portrait" r:id="rId1"/>
  <headerFooter>
    <oddFooter>&amp;R_x000D_&amp;1#&amp;"Arial"&amp;10&amp;K000000 Confidential 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E47-012A-415D-B079-3F507E0CB585}">
  <sheetPr>
    <pageSetUpPr fitToPage="1"/>
  </sheetPr>
  <dimension ref="A1:AK119"/>
  <sheetViews>
    <sheetView showGridLines="0" tabSelected="1" zoomScale="108" zoomScaleNormal="40" workbookViewId="0">
      <pane xSplit="7" ySplit="8" topLeftCell="H97" activePane="bottomRight" state="frozen"/>
      <selection pane="topRight" activeCell="C32" sqref="C32"/>
      <selection pane="bottomLeft" activeCell="C32" sqref="C32"/>
      <selection pane="bottomRight" activeCell="H100" sqref="H100"/>
    </sheetView>
  </sheetViews>
  <sheetFormatPr baseColWidth="10" defaultColWidth="11.453125" defaultRowHeight="11.5" x14ac:dyDescent="0.25"/>
  <cols>
    <col min="1" max="1" width="3.453125" style="1" customWidth="1"/>
    <col min="2" max="2" width="46.26953125" style="1" customWidth="1"/>
    <col min="3" max="4" width="8.7265625" style="1" customWidth="1"/>
    <col min="5" max="5" width="13.7265625" style="2" customWidth="1"/>
    <col min="6" max="6" width="13.81640625" style="2" customWidth="1"/>
    <col min="7" max="7" width="14.08984375" style="3" customWidth="1"/>
    <col min="8" max="25" width="11.453125" style="2" customWidth="1"/>
    <col min="26" max="26" width="43.7265625" style="1" customWidth="1"/>
    <col min="27" max="27" width="13.81640625" style="4" customWidth="1"/>
    <col min="28" max="255" width="11.453125" style="1"/>
    <col min="256" max="256" width="3.453125" style="1" customWidth="1"/>
    <col min="257" max="257" width="16.26953125" style="1" customWidth="1"/>
    <col min="258" max="258" width="16.7265625" style="1" customWidth="1"/>
    <col min="259" max="259" width="11.81640625" style="1" customWidth="1"/>
    <col min="260" max="260" width="10.54296875" style="1" customWidth="1"/>
    <col min="261" max="261" width="13.7265625" style="1" customWidth="1"/>
    <col min="262" max="262" width="13.81640625" style="1" customWidth="1"/>
    <col min="263" max="263" width="14.7265625" style="1" customWidth="1"/>
    <col min="264" max="268" width="11.26953125" style="1" customWidth="1"/>
    <col min="269" max="269" width="7.1796875" style="1" customWidth="1"/>
    <col min="270" max="274" width="11.26953125" style="1" customWidth="1"/>
    <col min="275" max="275" width="6.26953125" style="1" customWidth="1"/>
    <col min="276" max="280" width="10.7265625" style="1" customWidth="1"/>
    <col min="281" max="281" width="7.1796875" style="1" customWidth="1"/>
    <col min="282" max="282" width="43.7265625" style="1" customWidth="1"/>
    <col min="283" max="283" width="13.81640625" style="1" customWidth="1"/>
    <col min="284" max="511" width="11.453125" style="1"/>
    <col min="512" max="512" width="3.453125" style="1" customWidth="1"/>
    <col min="513" max="513" width="16.26953125" style="1" customWidth="1"/>
    <col min="514" max="514" width="16.7265625" style="1" customWidth="1"/>
    <col min="515" max="515" width="11.81640625" style="1" customWidth="1"/>
    <col min="516" max="516" width="10.54296875" style="1" customWidth="1"/>
    <col min="517" max="517" width="13.7265625" style="1" customWidth="1"/>
    <col min="518" max="518" width="13.81640625" style="1" customWidth="1"/>
    <col min="519" max="519" width="14.7265625" style="1" customWidth="1"/>
    <col min="520" max="524" width="11.26953125" style="1" customWidth="1"/>
    <col min="525" max="525" width="7.1796875" style="1" customWidth="1"/>
    <col min="526" max="530" width="11.26953125" style="1" customWidth="1"/>
    <col min="531" max="531" width="6.26953125" style="1" customWidth="1"/>
    <col min="532" max="536" width="10.7265625" style="1" customWidth="1"/>
    <col min="537" max="537" width="7.1796875" style="1" customWidth="1"/>
    <col min="538" max="538" width="43.7265625" style="1" customWidth="1"/>
    <col min="539" max="539" width="13.81640625" style="1" customWidth="1"/>
    <col min="540" max="767" width="11.453125" style="1"/>
    <col min="768" max="768" width="3.453125" style="1" customWidth="1"/>
    <col min="769" max="769" width="16.26953125" style="1" customWidth="1"/>
    <col min="770" max="770" width="16.7265625" style="1" customWidth="1"/>
    <col min="771" max="771" width="11.81640625" style="1" customWidth="1"/>
    <col min="772" max="772" width="10.54296875" style="1" customWidth="1"/>
    <col min="773" max="773" width="13.7265625" style="1" customWidth="1"/>
    <col min="774" max="774" width="13.81640625" style="1" customWidth="1"/>
    <col min="775" max="775" width="14.7265625" style="1" customWidth="1"/>
    <col min="776" max="780" width="11.26953125" style="1" customWidth="1"/>
    <col min="781" max="781" width="7.1796875" style="1" customWidth="1"/>
    <col min="782" max="786" width="11.26953125" style="1" customWidth="1"/>
    <col min="787" max="787" width="6.26953125" style="1" customWidth="1"/>
    <col min="788" max="792" width="10.7265625" style="1" customWidth="1"/>
    <col min="793" max="793" width="7.1796875" style="1" customWidth="1"/>
    <col min="794" max="794" width="43.7265625" style="1" customWidth="1"/>
    <col min="795" max="795" width="13.81640625" style="1" customWidth="1"/>
    <col min="796" max="1023" width="11.453125" style="1"/>
    <col min="1024" max="1024" width="3.453125" style="1" customWidth="1"/>
    <col min="1025" max="1025" width="16.26953125" style="1" customWidth="1"/>
    <col min="1026" max="1026" width="16.7265625" style="1" customWidth="1"/>
    <col min="1027" max="1027" width="11.81640625" style="1" customWidth="1"/>
    <col min="1028" max="1028" width="10.54296875" style="1" customWidth="1"/>
    <col min="1029" max="1029" width="13.7265625" style="1" customWidth="1"/>
    <col min="1030" max="1030" width="13.81640625" style="1" customWidth="1"/>
    <col min="1031" max="1031" width="14.7265625" style="1" customWidth="1"/>
    <col min="1032" max="1036" width="11.26953125" style="1" customWidth="1"/>
    <col min="1037" max="1037" width="7.1796875" style="1" customWidth="1"/>
    <col min="1038" max="1042" width="11.26953125" style="1" customWidth="1"/>
    <col min="1043" max="1043" width="6.26953125" style="1" customWidth="1"/>
    <col min="1044" max="1048" width="10.7265625" style="1" customWidth="1"/>
    <col min="1049" max="1049" width="7.1796875" style="1" customWidth="1"/>
    <col min="1050" max="1050" width="43.7265625" style="1" customWidth="1"/>
    <col min="1051" max="1051" width="13.81640625" style="1" customWidth="1"/>
    <col min="1052" max="1279" width="11.453125" style="1"/>
    <col min="1280" max="1280" width="3.453125" style="1" customWidth="1"/>
    <col min="1281" max="1281" width="16.26953125" style="1" customWidth="1"/>
    <col min="1282" max="1282" width="16.7265625" style="1" customWidth="1"/>
    <col min="1283" max="1283" width="11.81640625" style="1" customWidth="1"/>
    <col min="1284" max="1284" width="10.54296875" style="1" customWidth="1"/>
    <col min="1285" max="1285" width="13.7265625" style="1" customWidth="1"/>
    <col min="1286" max="1286" width="13.81640625" style="1" customWidth="1"/>
    <col min="1287" max="1287" width="14.7265625" style="1" customWidth="1"/>
    <col min="1288" max="1292" width="11.26953125" style="1" customWidth="1"/>
    <col min="1293" max="1293" width="7.1796875" style="1" customWidth="1"/>
    <col min="1294" max="1298" width="11.26953125" style="1" customWidth="1"/>
    <col min="1299" max="1299" width="6.26953125" style="1" customWidth="1"/>
    <col min="1300" max="1304" width="10.7265625" style="1" customWidth="1"/>
    <col min="1305" max="1305" width="7.1796875" style="1" customWidth="1"/>
    <col min="1306" max="1306" width="43.7265625" style="1" customWidth="1"/>
    <col min="1307" max="1307" width="13.81640625" style="1" customWidth="1"/>
    <col min="1308" max="1535" width="11.453125" style="1"/>
    <col min="1536" max="1536" width="3.453125" style="1" customWidth="1"/>
    <col min="1537" max="1537" width="16.26953125" style="1" customWidth="1"/>
    <col min="1538" max="1538" width="16.7265625" style="1" customWidth="1"/>
    <col min="1539" max="1539" width="11.81640625" style="1" customWidth="1"/>
    <col min="1540" max="1540" width="10.54296875" style="1" customWidth="1"/>
    <col min="1541" max="1541" width="13.7265625" style="1" customWidth="1"/>
    <col min="1542" max="1542" width="13.81640625" style="1" customWidth="1"/>
    <col min="1543" max="1543" width="14.7265625" style="1" customWidth="1"/>
    <col min="1544" max="1548" width="11.26953125" style="1" customWidth="1"/>
    <col min="1549" max="1549" width="7.1796875" style="1" customWidth="1"/>
    <col min="1550" max="1554" width="11.26953125" style="1" customWidth="1"/>
    <col min="1555" max="1555" width="6.26953125" style="1" customWidth="1"/>
    <col min="1556" max="1560" width="10.7265625" style="1" customWidth="1"/>
    <col min="1561" max="1561" width="7.1796875" style="1" customWidth="1"/>
    <col min="1562" max="1562" width="43.7265625" style="1" customWidth="1"/>
    <col min="1563" max="1563" width="13.81640625" style="1" customWidth="1"/>
    <col min="1564" max="1791" width="11.453125" style="1"/>
    <col min="1792" max="1792" width="3.453125" style="1" customWidth="1"/>
    <col min="1793" max="1793" width="16.26953125" style="1" customWidth="1"/>
    <col min="1794" max="1794" width="16.7265625" style="1" customWidth="1"/>
    <col min="1795" max="1795" width="11.81640625" style="1" customWidth="1"/>
    <col min="1796" max="1796" width="10.54296875" style="1" customWidth="1"/>
    <col min="1797" max="1797" width="13.7265625" style="1" customWidth="1"/>
    <col min="1798" max="1798" width="13.81640625" style="1" customWidth="1"/>
    <col min="1799" max="1799" width="14.7265625" style="1" customWidth="1"/>
    <col min="1800" max="1804" width="11.26953125" style="1" customWidth="1"/>
    <col min="1805" max="1805" width="7.1796875" style="1" customWidth="1"/>
    <col min="1806" max="1810" width="11.26953125" style="1" customWidth="1"/>
    <col min="1811" max="1811" width="6.26953125" style="1" customWidth="1"/>
    <col min="1812" max="1816" width="10.7265625" style="1" customWidth="1"/>
    <col min="1817" max="1817" width="7.1796875" style="1" customWidth="1"/>
    <col min="1818" max="1818" width="43.7265625" style="1" customWidth="1"/>
    <col min="1819" max="1819" width="13.81640625" style="1" customWidth="1"/>
    <col min="1820" max="2047" width="11.453125" style="1"/>
    <col min="2048" max="2048" width="3.453125" style="1" customWidth="1"/>
    <col min="2049" max="2049" width="16.26953125" style="1" customWidth="1"/>
    <col min="2050" max="2050" width="16.7265625" style="1" customWidth="1"/>
    <col min="2051" max="2051" width="11.81640625" style="1" customWidth="1"/>
    <col min="2052" max="2052" width="10.54296875" style="1" customWidth="1"/>
    <col min="2053" max="2053" width="13.7265625" style="1" customWidth="1"/>
    <col min="2054" max="2054" width="13.81640625" style="1" customWidth="1"/>
    <col min="2055" max="2055" width="14.7265625" style="1" customWidth="1"/>
    <col min="2056" max="2060" width="11.26953125" style="1" customWidth="1"/>
    <col min="2061" max="2061" width="7.1796875" style="1" customWidth="1"/>
    <col min="2062" max="2066" width="11.26953125" style="1" customWidth="1"/>
    <col min="2067" max="2067" width="6.26953125" style="1" customWidth="1"/>
    <col min="2068" max="2072" width="10.7265625" style="1" customWidth="1"/>
    <col min="2073" max="2073" width="7.1796875" style="1" customWidth="1"/>
    <col min="2074" max="2074" width="43.7265625" style="1" customWidth="1"/>
    <col min="2075" max="2075" width="13.81640625" style="1" customWidth="1"/>
    <col min="2076" max="2303" width="11.453125" style="1"/>
    <col min="2304" max="2304" width="3.453125" style="1" customWidth="1"/>
    <col min="2305" max="2305" width="16.26953125" style="1" customWidth="1"/>
    <col min="2306" max="2306" width="16.7265625" style="1" customWidth="1"/>
    <col min="2307" max="2307" width="11.81640625" style="1" customWidth="1"/>
    <col min="2308" max="2308" width="10.54296875" style="1" customWidth="1"/>
    <col min="2309" max="2309" width="13.7265625" style="1" customWidth="1"/>
    <col min="2310" max="2310" width="13.81640625" style="1" customWidth="1"/>
    <col min="2311" max="2311" width="14.7265625" style="1" customWidth="1"/>
    <col min="2312" max="2316" width="11.26953125" style="1" customWidth="1"/>
    <col min="2317" max="2317" width="7.1796875" style="1" customWidth="1"/>
    <col min="2318" max="2322" width="11.26953125" style="1" customWidth="1"/>
    <col min="2323" max="2323" width="6.26953125" style="1" customWidth="1"/>
    <col min="2324" max="2328" width="10.7265625" style="1" customWidth="1"/>
    <col min="2329" max="2329" width="7.1796875" style="1" customWidth="1"/>
    <col min="2330" max="2330" width="43.7265625" style="1" customWidth="1"/>
    <col min="2331" max="2331" width="13.81640625" style="1" customWidth="1"/>
    <col min="2332" max="2559" width="11.453125" style="1"/>
    <col min="2560" max="2560" width="3.453125" style="1" customWidth="1"/>
    <col min="2561" max="2561" width="16.26953125" style="1" customWidth="1"/>
    <col min="2562" max="2562" width="16.7265625" style="1" customWidth="1"/>
    <col min="2563" max="2563" width="11.81640625" style="1" customWidth="1"/>
    <col min="2564" max="2564" width="10.54296875" style="1" customWidth="1"/>
    <col min="2565" max="2565" width="13.7265625" style="1" customWidth="1"/>
    <col min="2566" max="2566" width="13.81640625" style="1" customWidth="1"/>
    <col min="2567" max="2567" width="14.7265625" style="1" customWidth="1"/>
    <col min="2568" max="2572" width="11.26953125" style="1" customWidth="1"/>
    <col min="2573" max="2573" width="7.1796875" style="1" customWidth="1"/>
    <col min="2574" max="2578" width="11.26953125" style="1" customWidth="1"/>
    <col min="2579" max="2579" width="6.26953125" style="1" customWidth="1"/>
    <col min="2580" max="2584" width="10.7265625" style="1" customWidth="1"/>
    <col min="2585" max="2585" width="7.1796875" style="1" customWidth="1"/>
    <col min="2586" max="2586" width="43.7265625" style="1" customWidth="1"/>
    <col min="2587" max="2587" width="13.81640625" style="1" customWidth="1"/>
    <col min="2588" max="2815" width="11.453125" style="1"/>
    <col min="2816" max="2816" width="3.453125" style="1" customWidth="1"/>
    <col min="2817" max="2817" width="16.26953125" style="1" customWidth="1"/>
    <col min="2818" max="2818" width="16.7265625" style="1" customWidth="1"/>
    <col min="2819" max="2819" width="11.81640625" style="1" customWidth="1"/>
    <col min="2820" max="2820" width="10.54296875" style="1" customWidth="1"/>
    <col min="2821" max="2821" width="13.7265625" style="1" customWidth="1"/>
    <col min="2822" max="2822" width="13.81640625" style="1" customWidth="1"/>
    <col min="2823" max="2823" width="14.7265625" style="1" customWidth="1"/>
    <col min="2824" max="2828" width="11.26953125" style="1" customWidth="1"/>
    <col min="2829" max="2829" width="7.1796875" style="1" customWidth="1"/>
    <col min="2830" max="2834" width="11.26953125" style="1" customWidth="1"/>
    <col min="2835" max="2835" width="6.26953125" style="1" customWidth="1"/>
    <col min="2836" max="2840" width="10.7265625" style="1" customWidth="1"/>
    <col min="2841" max="2841" width="7.1796875" style="1" customWidth="1"/>
    <col min="2842" max="2842" width="43.7265625" style="1" customWidth="1"/>
    <col min="2843" max="2843" width="13.81640625" style="1" customWidth="1"/>
    <col min="2844" max="3071" width="11.453125" style="1"/>
    <col min="3072" max="3072" width="3.453125" style="1" customWidth="1"/>
    <col min="3073" max="3073" width="16.26953125" style="1" customWidth="1"/>
    <col min="3074" max="3074" width="16.7265625" style="1" customWidth="1"/>
    <col min="3075" max="3075" width="11.81640625" style="1" customWidth="1"/>
    <col min="3076" max="3076" width="10.54296875" style="1" customWidth="1"/>
    <col min="3077" max="3077" width="13.7265625" style="1" customWidth="1"/>
    <col min="3078" max="3078" width="13.81640625" style="1" customWidth="1"/>
    <col min="3079" max="3079" width="14.7265625" style="1" customWidth="1"/>
    <col min="3080" max="3084" width="11.26953125" style="1" customWidth="1"/>
    <col min="3085" max="3085" width="7.1796875" style="1" customWidth="1"/>
    <col min="3086" max="3090" width="11.26953125" style="1" customWidth="1"/>
    <col min="3091" max="3091" width="6.26953125" style="1" customWidth="1"/>
    <col min="3092" max="3096" width="10.7265625" style="1" customWidth="1"/>
    <col min="3097" max="3097" width="7.1796875" style="1" customWidth="1"/>
    <col min="3098" max="3098" width="43.7265625" style="1" customWidth="1"/>
    <col min="3099" max="3099" width="13.81640625" style="1" customWidth="1"/>
    <col min="3100" max="3327" width="11.453125" style="1"/>
    <col min="3328" max="3328" width="3.453125" style="1" customWidth="1"/>
    <col min="3329" max="3329" width="16.26953125" style="1" customWidth="1"/>
    <col min="3330" max="3330" width="16.7265625" style="1" customWidth="1"/>
    <col min="3331" max="3331" width="11.81640625" style="1" customWidth="1"/>
    <col min="3332" max="3332" width="10.54296875" style="1" customWidth="1"/>
    <col min="3333" max="3333" width="13.7265625" style="1" customWidth="1"/>
    <col min="3334" max="3334" width="13.81640625" style="1" customWidth="1"/>
    <col min="3335" max="3335" width="14.7265625" style="1" customWidth="1"/>
    <col min="3336" max="3340" width="11.26953125" style="1" customWidth="1"/>
    <col min="3341" max="3341" width="7.1796875" style="1" customWidth="1"/>
    <col min="3342" max="3346" width="11.26953125" style="1" customWidth="1"/>
    <col min="3347" max="3347" width="6.26953125" style="1" customWidth="1"/>
    <col min="3348" max="3352" width="10.7265625" style="1" customWidth="1"/>
    <col min="3353" max="3353" width="7.1796875" style="1" customWidth="1"/>
    <col min="3354" max="3354" width="43.7265625" style="1" customWidth="1"/>
    <col min="3355" max="3355" width="13.81640625" style="1" customWidth="1"/>
    <col min="3356" max="3583" width="11.453125" style="1"/>
    <col min="3584" max="3584" width="3.453125" style="1" customWidth="1"/>
    <col min="3585" max="3585" width="16.26953125" style="1" customWidth="1"/>
    <col min="3586" max="3586" width="16.7265625" style="1" customWidth="1"/>
    <col min="3587" max="3587" width="11.81640625" style="1" customWidth="1"/>
    <col min="3588" max="3588" width="10.54296875" style="1" customWidth="1"/>
    <col min="3589" max="3589" width="13.7265625" style="1" customWidth="1"/>
    <col min="3590" max="3590" width="13.81640625" style="1" customWidth="1"/>
    <col min="3591" max="3591" width="14.7265625" style="1" customWidth="1"/>
    <col min="3592" max="3596" width="11.26953125" style="1" customWidth="1"/>
    <col min="3597" max="3597" width="7.1796875" style="1" customWidth="1"/>
    <col min="3598" max="3602" width="11.26953125" style="1" customWidth="1"/>
    <col min="3603" max="3603" width="6.26953125" style="1" customWidth="1"/>
    <col min="3604" max="3608" width="10.7265625" style="1" customWidth="1"/>
    <col min="3609" max="3609" width="7.1796875" style="1" customWidth="1"/>
    <col min="3610" max="3610" width="43.7265625" style="1" customWidth="1"/>
    <col min="3611" max="3611" width="13.81640625" style="1" customWidth="1"/>
    <col min="3612" max="3839" width="11.453125" style="1"/>
    <col min="3840" max="3840" width="3.453125" style="1" customWidth="1"/>
    <col min="3841" max="3841" width="16.26953125" style="1" customWidth="1"/>
    <col min="3842" max="3842" width="16.7265625" style="1" customWidth="1"/>
    <col min="3843" max="3843" width="11.81640625" style="1" customWidth="1"/>
    <col min="3844" max="3844" width="10.54296875" style="1" customWidth="1"/>
    <col min="3845" max="3845" width="13.7265625" style="1" customWidth="1"/>
    <col min="3846" max="3846" width="13.81640625" style="1" customWidth="1"/>
    <col min="3847" max="3847" width="14.7265625" style="1" customWidth="1"/>
    <col min="3848" max="3852" width="11.26953125" style="1" customWidth="1"/>
    <col min="3853" max="3853" width="7.1796875" style="1" customWidth="1"/>
    <col min="3854" max="3858" width="11.26953125" style="1" customWidth="1"/>
    <col min="3859" max="3859" width="6.26953125" style="1" customWidth="1"/>
    <col min="3860" max="3864" width="10.7265625" style="1" customWidth="1"/>
    <col min="3865" max="3865" width="7.1796875" style="1" customWidth="1"/>
    <col min="3866" max="3866" width="43.7265625" style="1" customWidth="1"/>
    <col min="3867" max="3867" width="13.81640625" style="1" customWidth="1"/>
    <col min="3868" max="4095" width="11.453125" style="1"/>
    <col min="4096" max="4096" width="3.453125" style="1" customWidth="1"/>
    <col min="4097" max="4097" width="16.26953125" style="1" customWidth="1"/>
    <col min="4098" max="4098" width="16.7265625" style="1" customWidth="1"/>
    <col min="4099" max="4099" width="11.81640625" style="1" customWidth="1"/>
    <col min="4100" max="4100" width="10.54296875" style="1" customWidth="1"/>
    <col min="4101" max="4101" width="13.7265625" style="1" customWidth="1"/>
    <col min="4102" max="4102" width="13.81640625" style="1" customWidth="1"/>
    <col min="4103" max="4103" width="14.7265625" style="1" customWidth="1"/>
    <col min="4104" max="4108" width="11.26953125" style="1" customWidth="1"/>
    <col min="4109" max="4109" width="7.1796875" style="1" customWidth="1"/>
    <col min="4110" max="4114" width="11.26953125" style="1" customWidth="1"/>
    <col min="4115" max="4115" width="6.26953125" style="1" customWidth="1"/>
    <col min="4116" max="4120" width="10.7265625" style="1" customWidth="1"/>
    <col min="4121" max="4121" width="7.1796875" style="1" customWidth="1"/>
    <col min="4122" max="4122" width="43.7265625" style="1" customWidth="1"/>
    <col min="4123" max="4123" width="13.81640625" style="1" customWidth="1"/>
    <col min="4124" max="4351" width="11.453125" style="1"/>
    <col min="4352" max="4352" width="3.453125" style="1" customWidth="1"/>
    <col min="4353" max="4353" width="16.26953125" style="1" customWidth="1"/>
    <col min="4354" max="4354" width="16.7265625" style="1" customWidth="1"/>
    <col min="4355" max="4355" width="11.81640625" style="1" customWidth="1"/>
    <col min="4356" max="4356" width="10.54296875" style="1" customWidth="1"/>
    <col min="4357" max="4357" width="13.7265625" style="1" customWidth="1"/>
    <col min="4358" max="4358" width="13.81640625" style="1" customWidth="1"/>
    <col min="4359" max="4359" width="14.7265625" style="1" customWidth="1"/>
    <col min="4360" max="4364" width="11.26953125" style="1" customWidth="1"/>
    <col min="4365" max="4365" width="7.1796875" style="1" customWidth="1"/>
    <col min="4366" max="4370" width="11.26953125" style="1" customWidth="1"/>
    <col min="4371" max="4371" width="6.26953125" style="1" customWidth="1"/>
    <col min="4372" max="4376" width="10.7265625" style="1" customWidth="1"/>
    <col min="4377" max="4377" width="7.1796875" style="1" customWidth="1"/>
    <col min="4378" max="4378" width="43.7265625" style="1" customWidth="1"/>
    <col min="4379" max="4379" width="13.81640625" style="1" customWidth="1"/>
    <col min="4380" max="4607" width="11.453125" style="1"/>
    <col min="4608" max="4608" width="3.453125" style="1" customWidth="1"/>
    <col min="4609" max="4609" width="16.26953125" style="1" customWidth="1"/>
    <col min="4610" max="4610" width="16.7265625" style="1" customWidth="1"/>
    <col min="4611" max="4611" width="11.81640625" style="1" customWidth="1"/>
    <col min="4612" max="4612" width="10.54296875" style="1" customWidth="1"/>
    <col min="4613" max="4613" width="13.7265625" style="1" customWidth="1"/>
    <col min="4614" max="4614" width="13.81640625" style="1" customWidth="1"/>
    <col min="4615" max="4615" width="14.7265625" style="1" customWidth="1"/>
    <col min="4616" max="4620" width="11.26953125" style="1" customWidth="1"/>
    <col min="4621" max="4621" width="7.1796875" style="1" customWidth="1"/>
    <col min="4622" max="4626" width="11.26953125" style="1" customWidth="1"/>
    <col min="4627" max="4627" width="6.26953125" style="1" customWidth="1"/>
    <col min="4628" max="4632" width="10.7265625" style="1" customWidth="1"/>
    <col min="4633" max="4633" width="7.1796875" style="1" customWidth="1"/>
    <col min="4634" max="4634" width="43.7265625" style="1" customWidth="1"/>
    <col min="4635" max="4635" width="13.81640625" style="1" customWidth="1"/>
    <col min="4636" max="4863" width="11.453125" style="1"/>
    <col min="4864" max="4864" width="3.453125" style="1" customWidth="1"/>
    <col min="4865" max="4865" width="16.26953125" style="1" customWidth="1"/>
    <col min="4866" max="4866" width="16.7265625" style="1" customWidth="1"/>
    <col min="4867" max="4867" width="11.81640625" style="1" customWidth="1"/>
    <col min="4868" max="4868" width="10.54296875" style="1" customWidth="1"/>
    <col min="4869" max="4869" width="13.7265625" style="1" customWidth="1"/>
    <col min="4870" max="4870" width="13.81640625" style="1" customWidth="1"/>
    <col min="4871" max="4871" width="14.7265625" style="1" customWidth="1"/>
    <col min="4872" max="4876" width="11.26953125" style="1" customWidth="1"/>
    <col min="4877" max="4877" width="7.1796875" style="1" customWidth="1"/>
    <col min="4878" max="4882" width="11.26953125" style="1" customWidth="1"/>
    <col min="4883" max="4883" width="6.26953125" style="1" customWidth="1"/>
    <col min="4884" max="4888" width="10.7265625" style="1" customWidth="1"/>
    <col min="4889" max="4889" width="7.1796875" style="1" customWidth="1"/>
    <col min="4890" max="4890" width="43.7265625" style="1" customWidth="1"/>
    <col min="4891" max="4891" width="13.81640625" style="1" customWidth="1"/>
    <col min="4892" max="5119" width="11.453125" style="1"/>
    <col min="5120" max="5120" width="3.453125" style="1" customWidth="1"/>
    <col min="5121" max="5121" width="16.26953125" style="1" customWidth="1"/>
    <col min="5122" max="5122" width="16.7265625" style="1" customWidth="1"/>
    <col min="5123" max="5123" width="11.81640625" style="1" customWidth="1"/>
    <col min="5124" max="5124" width="10.54296875" style="1" customWidth="1"/>
    <col min="5125" max="5125" width="13.7265625" style="1" customWidth="1"/>
    <col min="5126" max="5126" width="13.81640625" style="1" customWidth="1"/>
    <col min="5127" max="5127" width="14.7265625" style="1" customWidth="1"/>
    <col min="5128" max="5132" width="11.26953125" style="1" customWidth="1"/>
    <col min="5133" max="5133" width="7.1796875" style="1" customWidth="1"/>
    <col min="5134" max="5138" width="11.26953125" style="1" customWidth="1"/>
    <col min="5139" max="5139" width="6.26953125" style="1" customWidth="1"/>
    <col min="5140" max="5144" width="10.7265625" style="1" customWidth="1"/>
    <col min="5145" max="5145" width="7.1796875" style="1" customWidth="1"/>
    <col min="5146" max="5146" width="43.7265625" style="1" customWidth="1"/>
    <col min="5147" max="5147" width="13.81640625" style="1" customWidth="1"/>
    <col min="5148" max="5375" width="11.453125" style="1"/>
    <col min="5376" max="5376" width="3.453125" style="1" customWidth="1"/>
    <col min="5377" max="5377" width="16.26953125" style="1" customWidth="1"/>
    <col min="5378" max="5378" width="16.7265625" style="1" customWidth="1"/>
    <col min="5379" max="5379" width="11.81640625" style="1" customWidth="1"/>
    <col min="5380" max="5380" width="10.54296875" style="1" customWidth="1"/>
    <col min="5381" max="5381" width="13.7265625" style="1" customWidth="1"/>
    <col min="5382" max="5382" width="13.81640625" style="1" customWidth="1"/>
    <col min="5383" max="5383" width="14.7265625" style="1" customWidth="1"/>
    <col min="5384" max="5388" width="11.26953125" style="1" customWidth="1"/>
    <col min="5389" max="5389" width="7.1796875" style="1" customWidth="1"/>
    <col min="5390" max="5394" width="11.26953125" style="1" customWidth="1"/>
    <col min="5395" max="5395" width="6.26953125" style="1" customWidth="1"/>
    <col min="5396" max="5400" width="10.7265625" style="1" customWidth="1"/>
    <col min="5401" max="5401" width="7.1796875" style="1" customWidth="1"/>
    <col min="5402" max="5402" width="43.7265625" style="1" customWidth="1"/>
    <col min="5403" max="5403" width="13.81640625" style="1" customWidth="1"/>
    <col min="5404" max="5631" width="11.453125" style="1"/>
    <col min="5632" max="5632" width="3.453125" style="1" customWidth="1"/>
    <col min="5633" max="5633" width="16.26953125" style="1" customWidth="1"/>
    <col min="5634" max="5634" width="16.7265625" style="1" customWidth="1"/>
    <col min="5635" max="5635" width="11.81640625" style="1" customWidth="1"/>
    <col min="5636" max="5636" width="10.54296875" style="1" customWidth="1"/>
    <col min="5637" max="5637" width="13.7265625" style="1" customWidth="1"/>
    <col min="5638" max="5638" width="13.81640625" style="1" customWidth="1"/>
    <col min="5639" max="5639" width="14.7265625" style="1" customWidth="1"/>
    <col min="5640" max="5644" width="11.26953125" style="1" customWidth="1"/>
    <col min="5645" max="5645" width="7.1796875" style="1" customWidth="1"/>
    <col min="5646" max="5650" width="11.26953125" style="1" customWidth="1"/>
    <col min="5651" max="5651" width="6.26953125" style="1" customWidth="1"/>
    <col min="5652" max="5656" width="10.7265625" style="1" customWidth="1"/>
    <col min="5657" max="5657" width="7.1796875" style="1" customWidth="1"/>
    <col min="5658" max="5658" width="43.7265625" style="1" customWidth="1"/>
    <col min="5659" max="5659" width="13.81640625" style="1" customWidth="1"/>
    <col min="5660" max="5887" width="11.453125" style="1"/>
    <col min="5888" max="5888" width="3.453125" style="1" customWidth="1"/>
    <col min="5889" max="5889" width="16.26953125" style="1" customWidth="1"/>
    <col min="5890" max="5890" width="16.7265625" style="1" customWidth="1"/>
    <col min="5891" max="5891" width="11.81640625" style="1" customWidth="1"/>
    <col min="5892" max="5892" width="10.54296875" style="1" customWidth="1"/>
    <col min="5893" max="5893" width="13.7265625" style="1" customWidth="1"/>
    <col min="5894" max="5894" width="13.81640625" style="1" customWidth="1"/>
    <col min="5895" max="5895" width="14.7265625" style="1" customWidth="1"/>
    <col min="5896" max="5900" width="11.26953125" style="1" customWidth="1"/>
    <col min="5901" max="5901" width="7.1796875" style="1" customWidth="1"/>
    <col min="5902" max="5906" width="11.26953125" style="1" customWidth="1"/>
    <col min="5907" max="5907" width="6.26953125" style="1" customWidth="1"/>
    <col min="5908" max="5912" width="10.7265625" style="1" customWidth="1"/>
    <col min="5913" max="5913" width="7.1796875" style="1" customWidth="1"/>
    <col min="5914" max="5914" width="43.7265625" style="1" customWidth="1"/>
    <col min="5915" max="5915" width="13.81640625" style="1" customWidth="1"/>
    <col min="5916" max="6143" width="11.453125" style="1"/>
    <col min="6144" max="6144" width="3.453125" style="1" customWidth="1"/>
    <col min="6145" max="6145" width="16.26953125" style="1" customWidth="1"/>
    <col min="6146" max="6146" width="16.7265625" style="1" customWidth="1"/>
    <col min="6147" max="6147" width="11.81640625" style="1" customWidth="1"/>
    <col min="6148" max="6148" width="10.54296875" style="1" customWidth="1"/>
    <col min="6149" max="6149" width="13.7265625" style="1" customWidth="1"/>
    <col min="6150" max="6150" width="13.81640625" style="1" customWidth="1"/>
    <col min="6151" max="6151" width="14.7265625" style="1" customWidth="1"/>
    <col min="6152" max="6156" width="11.26953125" style="1" customWidth="1"/>
    <col min="6157" max="6157" width="7.1796875" style="1" customWidth="1"/>
    <col min="6158" max="6162" width="11.26953125" style="1" customWidth="1"/>
    <col min="6163" max="6163" width="6.26953125" style="1" customWidth="1"/>
    <col min="6164" max="6168" width="10.7265625" style="1" customWidth="1"/>
    <col min="6169" max="6169" width="7.1796875" style="1" customWidth="1"/>
    <col min="6170" max="6170" width="43.7265625" style="1" customWidth="1"/>
    <col min="6171" max="6171" width="13.81640625" style="1" customWidth="1"/>
    <col min="6172" max="6399" width="11.453125" style="1"/>
    <col min="6400" max="6400" width="3.453125" style="1" customWidth="1"/>
    <col min="6401" max="6401" width="16.26953125" style="1" customWidth="1"/>
    <col min="6402" max="6402" width="16.7265625" style="1" customWidth="1"/>
    <col min="6403" max="6403" width="11.81640625" style="1" customWidth="1"/>
    <col min="6404" max="6404" width="10.54296875" style="1" customWidth="1"/>
    <col min="6405" max="6405" width="13.7265625" style="1" customWidth="1"/>
    <col min="6406" max="6406" width="13.81640625" style="1" customWidth="1"/>
    <col min="6407" max="6407" width="14.7265625" style="1" customWidth="1"/>
    <col min="6408" max="6412" width="11.26953125" style="1" customWidth="1"/>
    <col min="6413" max="6413" width="7.1796875" style="1" customWidth="1"/>
    <col min="6414" max="6418" width="11.26953125" style="1" customWidth="1"/>
    <col min="6419" max="6419" width="6.26953125" style="1" customWidth="1"/>
    <col min="6420" max="6424" width="10.7265625" style="1" customWidth="1"/>
    <col min="6425" max="6425" width="7.1796875" style="1" customWidth="1"/>
    <col min="6426" max="6426" width="43.7265625" style="1" customWidth="1"/>
    <col min="6427" max="6427" width="13.81640625" style="1" customWidth="1"/>
    <col min="6428" max="6655" width="11.453125" style="1"/>
    <col min="6656" max="6656" width="3.453125" style="1" customWidth="1"/>
    <col min="6657" max="6657" width="16.26953125" style="1" customWidth="1"/>
    <col min="6658" max="6658" width="16.7265625" style="1" customWidth="1"/>
    <col min="6659" max="6659" width="11.81640625" style="1" customWidth="1"/>
    <col min="6660" max="6660" width="10.54296875" style="1" customWidth="1"/>
    <col min="6661" max="6661" width="13.7265625" style="1" customWidth="1"/>
    <col min="6662" max="6662" width="13.81640625" style="1" customWidth="1"/>
    <col min="6663" max="6663" width="14.7265625" style="1" customWidth="1"/>
    <col min="6664" max="6668" width="11.26953125" style="1" customWidth="1"/>
    <col min="6669" max="6669" width="7.1796875" style="1" customWidth="1"/>
    <col min="6670" max="6674" width="11.26953125" style="1" customWidth="1"/>
    <col min="6675" max="6675" width="6.26953125" style="1" customWidth="1"/>
    <col min="6676" max="6680" width="10.7265625" style="1" customWidth="1"/>
    <col min="6681" max="6681" width="7.1796875" style="1" customWidth="1"/>
    <col min="6682" max="6682" width="43.7265625" style="1" customWidth="1"/>
    <col min="6683" max="6683" width="13.81640625" style="1" customWidth="1"/>
    <col min="6684" max="6911" width="11.453125" style="1"/>
    <col min="6912" max="6912" width="3.453125" style="1" customWidth="1"/>
    <col min="6913" max="6913" width="16.26953125" style="1" customWidth="1"/>
    <col min="6914" max="6914" width="16.7265625" style="1" customWidth="1"/>
    <col min="6915" max="6915" width="11.81640625" style="1" customWidth="1"/>
    <col min="6916" max="6916" width="10.54296875" style="1" customWidth="1"/>
    <col min="6917" max="6917" width="13.7265625" style="1" customWidth="1"/>
    <col min="6918" max="6918" width="13.81640625" style="1" customWidth="1"/>
    <col min="6919" max="6919" width="14.7265625" style="1" customWidth="1"/>
    <col min="6920" max="6924" width="11.26953125" style="1" customWidth="1"/>
    <col min="6925" max="6925" width="7.1796875" style="1" customWidth="1"/>
    <col min="6926" max="6930" width="11.26953125" style="1" customWidth="1"/>
    <col min="6931" max="6931" width="6.26953125" style="1" customWidth="1"/>
    <col min="6932" max="6936" width="10.7265625" style="1" customWidth="1"/>
    <col min="6937" max="6937" width="7.1796875" style="1" customWidth="1"/>
    <col min="6938" max="6938" width="43.7265625" style="1" customWidth="1"/>
    <col min="6939" max="6939" width="13.81640625" style="1" customWidth="1"/>
    <col min="6940" max="7167" width="11.453125" style="1"/>
    <col min="7168" max="7168" width="3.453125" style="1" customWidth="1"/>
    <col min="7169" max="7169" width="16.26953125" style="1" customWidth="1"/>
    <col min="7170" max="7170" width="16.7265625" style="1" customWidth="1"/>
    <col min="7171" max="7171" width="11.81640625" style="1" customWidth="1"/>
    <col min="7172" max="7172" width="10.54296875" style="1" customWidth="1"/>
    <col min="7173" max="7173" width="13.7265625" style="1" customWidth="1"/>
    <col min="7174" max="7174" width="13.81640625" style="1" customWidth="1"/>
    <col min="7175" max="7175" width="14.7265625" style="1" customWidth="1"/>
    <col min="7176" max="7180" width="11.26953125" style="1" customWidth="1"/>
    <col min="7181" max="7181" width="7.1796875" style="1" customWidth="1"/>
    <col min="7182" max="7186" width="11.26953125" style="1" customWidth="1"/>
    <col min="7187" max="7187" width="6.26953125" style="1" customWidth="1"/>
    <col min="7188" max="7192" width="10.7265625" style="1" customWidth="1"/>
    <col min="7193" max="7193" width="7.1796875" style="1" customWidth="1"/>
    <col min="7194" max="7194" width="43.7265625" style="1" customWidth="1"/>
    <col min="7195" max="7195" width="13.81640625" style="1" customWidth="1"/>
    <col min="7196" max="7423" width="11.453125" style="1"/>
    <col min="7424" max="7424" width="3.453125" style="1" customWidth="1"/>
    <col min="7425" max="7425" width="16.26953125" style="1" customWidth="1"/>
    <col min="7426" max="7426" width="16.7265625" style="1" customWidth="1"/>
    <col min="7427" max="7427" width="11.81640625" style="1" customWidth="1"/>
    <col min="7428" max="7428" width="10.54296875" style="1" customWidth="1"/>
    <col min="7429" max="7429" width="13.7265625" style="1" customWidth="1"/>
    <col min="7430" max="7430" width="13.81640625" style="1" customWidth="1"/>
    <col min="7431" max="7431" width="14.7265625" style="1" customWidth="1"/>
    <col min="7432" max="7436" width="11.26953125" style="1" customWidth="1"/>
    <col min="7437" max="7437" width="7.1796875" style="1" customWidth="1"/>
    <col min="7438" max="7442" width="11.26953125" style="1" customWidth="1"/>
    <col min="7443" max="7443" width="6.26953125" style="1" customWidth="1"/>
    <col min="7444" max="7448" width="10.7265625" style="1" customWidth="1"/>
    <col min="7449" max="7449" width="7.1796875" style="1" customWidth="1"/>
    <col min="7450" max="7450" width="43.7265625" style="1" customWidth="1"/>
    <col min="7451" max="7451" width="13.81640625" style="1" customWidth="1"/>
    <col min="7452" max="7679" width="11.453125" style="1"/>
    <col min="7680" max="7680" width="3.453125" style="1" customWidth="1"/>
    <col min="7681" max="7681" width="16.26953125" style="1" customWidth="1"/>
    <col min="7682" max="7682" width="16.7265625" style="1" customWidth="1"/>
    <col min="7683" max="7683" width="11.81640625" style="1" customWidth="1"/>
    <col min="7684" max="7684" width="10.54296875" style="1" customWidth="1"/>
    <col min="7685" max="7685" width="13.7265625" style="1" customWidth="1"/>
    <col min="7686" max="7686" width="13.81640625" style="1" customWidth="1"/>
    <col min="7687" max="7687" width="14.7265625" style="1" customWidth="1"/>
    <col min="7688" max="7692" width="11.26953125" style="1" customWidth="1"/>
    <col min="7693" max="7693" width="7.1796875" style="1" customWidth="1"/>
    <col min="7694" max="7698" width="11.26953125" style="1" customWidth="1"/>
    <col min="7699" max="7699" width="6.26953125" style="1" customWidth="1"/>
    <col min="7700" max="7704" width="10.7265625" style="1" customWidth="1"/>
    <col min="7705" max="7705" width="7.1796875" style="1" customWidth="1"/>
    <col min="7706" max="7706" width="43.7265625" style="1" customWidth="1"/>
    <col min="7707" max="7707" width="13.81640625" style="1" customWidth="1"/>
    <col min="7708" max="7935" width="11.453125" style="1"/>
    <col min="7936" max="7936" width="3.453125" style="1" customWidth="1"/>
    <col min="7937" max="7937" width="16.26953125" style="1" customWidth="1"/>
    <col min="7938" max="7938" width="16.7265625" style="1" customWidth="1"/>
    <col min="7939" max="7939" width="11.81640625" style="1" customWidth="1"/>
    <col min="7940" max="7940" width="10.54296875" style="1" customWidth="1"/>
    <col min="7941" max="7941" width="13.7265625" style="1" customWidth="1"/>
    <col min="7942" max="7942" width="13.81640625" style="1" customWidth="1"/>
    <col min="7943" max="7943" width="14.7265625" style="1" customWidth="1"/>
    <col min="7944" max="7948" width="11.26953125" style="1" customWidth="1"/>
    <col min="7949" max="7949" width="7.1796875" style="1" customWidth="1"/>
    <col min="7950" max="7954" width="11.26953125" style="1" customWidth="1"/>
    <col min="7955" max="7955" width="6.26953125" style="1" customWidth="1"/>
    <col min="7956" max="7960" width="10.7265625" style="1" customWidth="1"/>
    <col min="7961" max="7961" width="7.1796875" style="1" customWidth="1"/>
    <col min="7962" max="7962" width="43.7265625" style="1" customWidth="1"/>
    <col min="7963" max="7963" width="13.81640625" style="1" customWidth="1"/>
    <col min="7964" max="8191" width="11.453125" style="1"/>
    <col min="8192" max="8192" width="3.453125" style="1" customWidth="1"/>
    <col min="8193" max="8193" width="16.26953125" style="1" customWidth="1"/>
    <col min="8194" max="8194" width="16.7265625" style="1" customWidth="1"/>
    <col min="8195" max="8195" width="11.81640625" style="1" customWidth="1"/>
    <col min="8196" max="8196" width="10.54296875" style="1" customWidth="1"/>
    <col min="8197" max="8197" width="13.7265625" style="1" customWidth="1"/>
    <col min="8198" max="8198" width="13.81640625" style="1" customWidth="1"/>
    <col min="8199" max="8199" width="14.7265625" style="1" customWidth="1"/>
    <col min="8200" max="8204" width="11.26953125" style="1" customWidth="1"/>
    <col min="8205" max="8205" width="7.1796875" style="1" customWidth="1"/>
    <col min="8206" max="8210" width="11.26953125" style="1" customWidth="1"/>
    <col min="8211" max="8211" width="6.26953125" style="1" customWidth="1"/>
    <col min="8212" max="8216" width="10.7265625" style="1" customWidth="1"/>
    <col min="8217" max="8217" width="7.1796875" style="1" customWidth="1"/>
    <col min="8218" max="8218" width="43.7265625" style="1" customWidth="1"/>
    <col min="8219" max="8219" width="13.81640625" style="1" customWidth="1"/>
    <col min="8220" max="8447" width="11.453125" style="1"/>
    <col min="8448" max="8448" width="3.453125" style="1" customWidth="1"/>
    <col min="8449" max="8449" width="16.26953125" style="1" customWidth="1"/>
    <col min="8450" max="8450" width="16.7265625" style="1" customWidth="1"/>
    <col min="8451" max="8451" width="11.81640625" style="1" customWidth="1"/>
    <col min="8452" max="8452" width="10.54296875" style="1" customWidth="1"/>
    <col min="8453" max="8453" width="13.7265625" style="1" customWidth="1"/>
    <col min="8454" max="8454" width="13.81640625" style="1" customWidth="1"/>
    <col min="8455" max="8455" width="14.7265625" style="1" customWidth="1"/>
    <col min="8456" max="8460" width="11.26953125" style="1" customWidth="1"/>
    <col min="8461" max="8461" width="7.1796875" style="1" customWidth="1"/>
    <col min="8462" max="8466" width="11.26953125" style="1" customWidth="1"/>
    <col min="8467" max="8467" width="6.26953125" style="1" customWidth="1"/>
    <col min="8468" max="8472" width="10.7265625" style="1" customWidth="1"/>
    <col min="8473" max="8473" width="7.1796875" style="1" customWidth="1"/>
    <col min="8474" max="8474" width="43.7265625" style="1" customWidth="1"/>
    <col min="8475" max="8475" width="13.81640625" style="1" customWidth="1"/>
    <col min="8476" max="8703" width="11.453125" style="1"/>
    <col min="8704" max="8704" width="3.453125" style="1" customWidth="1"/>
    <col min="8705" max="8705" width="16.26953125" style="1" customWidth="1"/>
    <col min="8706" max="8706" width="16.7265625" style="1" customWidth="1"/>
    <col min="8707" max="8707" width="11.81640625" style="1" customWidth="1"/>
    <col min="8708" max="8708" width="10.54296875" style="1" customWidth="1"/>
    <col min="8709" max="8709" width="13.7265625" style="1" customWidth="1"/>
    <col min="8710" max="8710" width="13.81640625" style="1" customWidth="1"/>
    <col min="8711" max="8711" width="14.7265625" style="1" customWidth="1"/>
    <col min="8712" max="8716" width="11.26953125" style="1" customWidth="1"/>
    <col min="8717" max="8717" width="7.1796875" style="1" customWidth="1"/>
    <col min="8718" max="8722" width="11.26953125" style="1" customWidth="1"/>
    <col min="8723" max="8723" width="6.26953125" style="1" customWidth="1"/>
    <col min="8724" max="8728" width="10.7265625" style="1" customWidth="1"/>
    <col min="8729" max="8729" width="7.1796875" style="1" customWidth="1"/>
    <col min="8730" max="8730" width="43.7265625" style="1" customWidth="1"/>
    <col min="8731" max="8731" width="13.81640625" style="1" customWidth="1"/>
    <col min="8732" max="8959" width="11.453125" style="1"/>
    <col min="8960" max="8960" width="3.453125" style="1" customWidth="1"/>
    <col min="8961" max="8961" width="16.26953125" style="1" customWidth="1"/>
    <col min="8962" max="8962" width="16.7265625" style="1" customWidth="1"/>
    <col min="8963" max="8963" width="11.81640625" style="1" customWidth="1"/>
    <col min="8964" max="8964" width="10.54296875" style="1" customWidth="1"/>
    <col min="8965" max="8965" width="13.7265625" style="1" customWidth="1"/>
    <col min="8966" max="8966" width="13.81640625" style="1" customWidth="1"/>
    <col min="8967" max="8967" width="14.7265625" style="1" customWidth="1"/>
    <col min="8968" max="8972" width="11.26953125" style="1" customWidth="1"/>
    <col min="8973" max="8973" width="7.1796875" style="1" customWidth="1"/>
    <col min="8974" max="8978" width="11.26953125" style="1" customWidth="1"/>
    <col min="8979" max="8979" width="6.26953125" style="1" customWidth="1"/>
    <col min="8980" max="8984" width="10.7265625" style="1" customWidth="1"/>
    <col min="8985" max="8985" width="7.1796875" style="1" customWidth="1"/>
    <col min="8986" max="8986" width="43.7265625" style="1" customWidth="1"/>
    <col min="8987" max="8987" width="13.81640625" style="1" customWidth="1"/>
    <col min="8988" max="9215" width="11.453125" style="1"/>
    <col min="9216" max="9216" width="3.453125" style="1" customWidth="1"/>
    <col min="9217" max="9217" width="16.26953125" style="1" customWidth="1"/>
    <col min="9218" max="9218" width="16.7265625" style="1" customWidth="1"/>
    <col min="9219" max="9219" width="11.81640625" style="1" customWidth="1"/>
    <col min="9220" max="9220" width="10.54296875" style="1" customWidth="1"/>
    <col min="9221" max="9221" width="13.7265625" style="1" customWidth="1"/>
    <col min="9222" max="9222" width="13.81640625" style="1" customWidth="1"/>
    <col min="9223" max="9223" width="14.7265625" style="1" customWidth="1"/>
    <col min="9224" max="9228" width="11.26953125" style="1" customWidth="1"/>
    <col min="9229" max="9229" width="7.1796875" style="1" customWidth="1"/>
    <col min="9230" max="9234" width="11.26953125" style="1" customWidth="1"/>
    <col min="9235" max="9235" width="6.26953125" style="1" customWidth="1"/>
    <col min="9236" max="9240" width="10.7265625" style="1" customWidth="1"/>
    <col min="9241" max="9241" width="7.1796875" style="1" customWidth="1"/>
    <col min="9242" max="9242" width="43.7265625" style="1" customWidth="1"/>
    <col min="9243" max="9243" width="13.81640625" style="1" customWidth="1"/>
    <col min="9244" max="9471" width="11.453125" style="1"/>
    <col min="9472" max="9472" width="3.453125" style="1" customWidth="1"/>
    <col min="9473" max="9473" width="16.26953125" style="1" customWidth="1"/>
    <col min="9474" max="9474" width="16.7265625" style="1" customWidth="1"/>
    <col min="9475" max="9475" width="11.81640625" style="1" customWidth="1"/>
    <col min="9476" max="9476" width="10.54296875" style="1" customWidth="1"/>
    <col min="9477" max="9477" width="13.7265625" style="1" customWidth="1"/>
    <col min="9478" max="9478" width="13.81640625" style="1" customWidth="1"/>
    <col min="9479" max="9479" width="14.7265625" style="1" customWidth="1"/>
    <col min="9480" max="9484" width="11.26953125" style="1" customWidth="1"/>
    <col min="9485" max="9485" width="7.1796875" style="1" customWidth="1"/>
    <col min="9486" max="9490" width="11.26953125" style="1" customWidth="1"/>
    <col min="9491" max="9491" width="6.26953125" style="1" customWidth="1"/>
    <col min="9492" max="9496" width="10.7265625" style="1" customWidth="1"/>
    <col min="9497" max="9497" width="7.1796875" style="1" customWidth="1"/>
    <col min="9498" max="9498" width="43.7265625" style="1" customWidth="1"/>
    <col min="9499" max="9499" width="13.81640625" style="1" customWidth="1"/>
    <col min="9500" max="9727" width="11.453125" style="1"/>
    <col min="9728" max="9728" width="3.453125" style="1" customWidth="1"/>
    <col min="9729" max="9729" width="16.26953125" style="1" customWidth="1"/>
    <col min="9730" max="9730" width="16.7265625" style="1" customWidth="1"/>
    <col min="9731" max="9731" width="11.81640625" style="1" customWidth="1"/>
    <col min="9732" max="9732" width="10.54296875" style="1" customWidth="1"/>
    <col min="9733" max="9733" width="13.7265625" style="1" customWidth="1"/>
    <col min="9734" max="9734" width="13.81640625" style="1" customWidth="1"/>
    <col min="9735" max="9735" width="14.7265625" style="1" customWidth="1"/>
    <col min="9736" max="9740" width="11.26953125" style="1" customWidth="1"/>
    <col min="9741" max="9741" width="7.1796875" style="1" customWidth="1"/>
    <col min="9742" max="9746" width="11.26953125" style="1" customWidth="1"/>
    <col min="9747" max="9747" width="6.26953125" style="1" customWidth="1"/>
    <col min="9748" max="9752" width="10.7265625" style="1" customWidth="1"/>
    <col min="9753" max="9753" width="7.1796875" style="1" customWidth="1"/>
    <col min="9754" max="9754" width="43.7265625" style="1" customWidth="1"/>
    <col min="9755" max="9755" width="13.81640625" style="1" customWidth="1"/>
    <col min="9756" max="9983" width="11.453125" style="1"/>
    <col min="9984" max="9984" width="3.453125" style="1" customWidth="1"/>
    <col min="9985" max="9985" width="16.26953125" style="1" customWidth="1"/>
    <col min="9986" max="9986" width="16.7265625" style="1" customWidth="1"/>
    <col min="9987" max="9987" width="11.81640625" style="1" customWidth="1"/>
    <col min="9988" max="9988" width="10.54296875" style="1" customWidth="1"/>
    <col min="9989" max="9989" width="13.7265625" style="1" customWidth="1"/>
    <col min="9990" max="9990" width="13.81640625" style="1" customWidth="1"/>
    <col min="9991" max="9991" width="14.7265625" style="1" customWidth="1"/>
    <col min="9992" max="9996" width="11.26953125" style="1" customWidth="1"/>
    <col min="9997" max="9997" width="7.1796875" style="1" customWidth="1"/>
    <col min="9998" max="10002" width="11.26953125" style="1" customWidth="1"/>
    <col min="10003" max="10003" width="6.26953125" style="1" customWidth="1"/>
    <col min="10004" max="10008" width="10.7265625" style="1" customWidth="1"/>
    <col min="10009" max="10009" width="7.1796875" style="1" customWidth="1"/>
    <col min="10010" max="10010" width="43.7265625" style="1" customWidth="1"/>
    <col min="10011" max="10011" width="13.81640625" style="1" customWidth="1"/>
    <col min="10012" max="10239" width="11.453125" style="1"/>
    <col min="10240" max="10240" width="3.453125" style="1" customWidth="1"/>
    <col min="10241" max="10241" width="16.26953125" style="1" customWidth="1"/>
    <col min="10242" max="10242" width="16.7265625" style="1" customWidth="1"/>
    <col min="10243" max="10243" width="11.81640625" style="1" customWidth="1"/>
    <col min="10244" max="10244" width="10.54296875" style="1" customWidth="1"/>
    <col min="10245" max="10245" width="13.7265625" style="1" customWidth="1"/>
    <col min="10246" max="10246" width="13.81640625" style="1" customWidth="1"/>
    <col min="10247" max="10247" width="14.7265625" style="1" customWidth="1"/>
    <col min="10248" max="10252" width="11.26953125" style="1" customWidth="1"/>
    <col min="10253" max="10253" width="7.1796875" style="1" customWidth="1"/>
    <col min="10254" max="10258" width="11.26953125" style="1" customWidth="1"/>
    <col min="10259" max="10259" width="6.26953125" style="1" customWidth="1"/>
    <col min="10260" max="10264" width="10.7265625" style="1" customWidth="1"/>
    <col min="10265" max="10265" width="7.1796875" style="1" customWidth="1"/>
    <col min="10266" max="10266" width="43.7265625" style="1" customWidth="1"/>
    <col min="10267" max="10267" width="13.81640625" style="1" customWidth="1"/>
    <col min="10268" max="10495" width="11.453125" style="1"/>
    <col min="10496" max="10496" width="3.453125" style="1" customWidth="1"/>
    <col min="10497" max="10497" width="16.26953125" style="1" customWidth="1"/>
    <col min="10498" max="10498" width="16.7265625" style="1" customWidth="1"/>
    <col min="10499" max="10499" width="11.81640625" style="1" customWidth="1"/>
    <col min="10500" max="10500" width="10.54296875" style="1" customWidth="1"/>
    <col min="10501" max="10501" width="13.7265625" style="1" customWidth="1"/>
    <col min="10502" max="10502" width="13.81640625" style="1" customWidth="1"/>
    <col min="10503" max="10503" width="14.7265625" style="1" customWidth="1"/>
    <col min="10504" max="10508" width="11.26953125" style="1" customWidth="1"/>
    <col min="10509" max="10509" width="7.1796875" style="1" customWidth="1"/>
    <col min="10510" max="10514" width="11.26953125" style="1" customWidth="1"/>
    <col min="10515" max="10515" width="6.26953125" style="1" customWidth="1"/>
    <col min="10516" max="10520" width="10.7265625" style="1" customWidth="1"/>
    <col min="10521" max="10521" width="7.1796875" style="1" customWidth="1"/>
    <col min="10522" max="10522" width="43.7265625" style="1" customWidth="1"/>
    <col min="10523" max="10523" width="13.81640625" style="1" customWidth="1"/>
    <col min="10524" max="10751" width="11.453125" style="1"/>
    <col min="10752" max="10752" width="3.453125" style="1" customWidth="1"/>
    <col min="10753" max="10753" width="16.26953125" style="1" customWidth="1"/>
    <col min="10754" max="10754" width="16.7265625" style="1" customWidth="1"/>
    <col min="10755" max="10755" width="11.81640625" style="1" customWidth="1"/>
    <col min="10756" max="10756" width="10.54296875" style="1" customWidth="1"/>
    <col min="10757" max="10757" width="13.7265625" style="1" customWidth="1"/>
    <col min="10758" max="10758" width="13.81640625" style="1" customWidth="1"/>
    <col min="10759" max="10759" width="14.7265625" style="1" customWidth="1"/>
    <col min="10760" max="10764" width="11.26953125" style="1" customWidth="1"/>
    <col min="10765" max="10765" width="7.1796875" style="1" customWidth="1"/>
    <col min="10766" max="10770" width="11.26953125" style="1" customWidth="1"/>
    <col min="10771" max="10771" width="6.26953125" style="1" customWidth="1"/>
    <col min="10772" max="10776" width="10.7265625" style="1" customWidth="1"/>
    <col min="10777" max="10777" width="7.1796875" style="1" customWidth="1"/>
    <col min="10778" max="10778" width="43.7265625" style="1" customWidth="1"/>
    <col min="10779" max="10779" width="13.81640625" style="1" customWidth="1"/>
    <col min="10780" max="11007" width="11.453125" style="1"/>
    <col min="11008" max="11008" width="3.453125" style="1" customWidth="1"/>
    <col min="11009" max="11009" width="16.26953125" style="1" customWidth="1"/>
    <col min="11010" max="11010" width="16.7265625" style="1" customWidth="1"/>
    <col min="11011" max="11011" width="11.81640625" style="1" customWidth="1"/>
    <col min="11012" max="11012" width="10.54296875" style="1" customWidth="1"/>
    <col min="11013" max="11013" width="13.7265625" style="1" customWidth="1"/>
    <col min="11014" max="11014" width="13.81640625" style="1" customWidth="1"/>
    <col min="11015" max="11015" width="14.7265625" style="1" customWidth="1"/>
    <col min="11016" max="11020" width="11.26953125" style="1" customWidth="1"/>
    <col min="11021" max="11021" width="7.1796875" style="1" customWidth="1"/>
    <col min="11022" max="11026" width="11.26953125" style="1" customWidth="1"/>
    <col min="11027" max="11027" width="6.26953125" style="1" customWidth="1"/>
    <col min="11028" max="11032" width="10.7265625" style="1" customWidth="1"/>
    <col min="11033" max="11033" width="7.1796875" style="1" customWidth="1"/>
    <col min="11034" max="11034" width="43.7265625" style="1" customWidth="1"/>
    <col min="11035" max="11035" width="13.81640625" style="1" customWidth="1"/>
    <col min="11036" max="11263" width="11.453125" style="1"/>
    <col min="11264" max="11264" width="3.453125" style="1" customWidth="1"/>
    <col min="11265" max="11265" width="16.26953125" style="1" customWidth="1"/>
    <col min="11266" max="11266" width="16.7265625" style="1" customWidth="1"/>
    <col min="11267" max="11267" width="11.81640625" style="1" customWidth="1"/>
    <col min="11268" max="11268" width="10.54296875" style="1" customWidth="1"/>
    <col min="11269" max="11269" width="13.7265625" style="1" customWidth="1"/>
    <col min="11270" max="11270" width="13.81640625" style="1" customWidth="1"/>
    <col min="11271" max="11271" width="14.7265625" style="1" customWidth="1"/>
    <col min="11272" max="11276" width="11.26953125" style="1" customWidth="1"/>
    <col min="11277" max="11277" width="7.1796875" style="1" customWidth="1"/>
    <col min="11278" max="11282" width="11.26953125" style="1" customWidth="1"/>
    <col min="11283" max="11283" width="6.26953125" style="1" customWidth="1"/>
    <col min="11284" max="11288" width="10.7265625" style="1" customWidth="1"/>
    <col min="11289" max="11289" width="7.1796875" style="1" customWidth="1"/>
    <col min="11290" max="11290" width="43.7265625" style="1" customWidth="1"/>
    <col min="11291" max="11291" width="13.81640625" style="1" customWidth="1"/>
    <col min="11292" max="11519" width="11.453125" style="1"/>
    <col min="11520" max="11520" width="3.453125" style="1" customWidth="1"/>
    <col min="11521" max="11521" width="16.26953125" style="1" customWidth="1"/>
    <col min="11522" max="11522" width="16.7265625" style="1" customWidth="1"/>
    <col min="11523" max="11523" width="11.81640625" style="1" customWidth="1"/>
    <col min="11524" max="11524" width="10.54296875" style="1" customWidth="1"/>
    <col min="11525" max="11525" width="13.7265625" style="1" customWidth="1"/>
    <col min="11526" max="11526" width="13.81640625" style="1" customWidth="1"/>
    <col min="11527" max="11527" width="14.7265625" style="1" customWidth="1"/>
    <col min="11528" max="11532" width="11.26953125" style="1" customWidth="1"/>
    <col min="11533" max="11533" width="7.1796875" style="1" customWidth="1"/>
    <col min="11534" max="11538" width="11.26953125" style="1" customWidth="1"/>
    <col min="11539" max="11539" width="6.26953125" style="1" customWidth="1"/>
    <col min="11540" max="11544" width="10.7265625" style="1" customWidth="1"/>
    <col min="11545" max="11545" width="7.1796875" style="1" customWidth="1"/>
    <col min="11546" max="11546" width="43.7265625" style="1" customWidth="1"/>
    <col min="11547" max="11547" width="13.81640625" style="1" customWidth="1"/>
    <col min="11548" max="11775" width="11.453125" style="1"/>
    <col min="11776" max="11776" width="3.453125" style="1" customWidth="1"/>
    <col min="11777" max="11777" width="16.26953125" style="1" customWidth="1"/>
    <col min="11778" max="11778" width="16.7265625" style="1" customWidth="1"/>
    <col min="11779" max="11779" width="11.81640625" style="1" customWidth="1"/>
    <col min="11780" max="11780" width="10.54296875" style="1" customWidth="1"/>
    <col min="11781" max="11781" width="13.7265625" style="1" customWidth="1"/>
    <col min="11782" max="11782" width="13.81640625" style="1" customWidth="1"/>
    <col min="11783" max="11783" width="14.7265625" style="1" customWidth="1"/>
    <col min="11784" max="11788" width="11.26953125" style="1" customWidth="1"/>
    <col min="11789" max="11789" width="7.1796875" style="1" customWidth="1"/>
    <col min="11790" max="11794" width="11.26953125" style="1" customWidth="1"/>
    <col min="11795" max="11795" width="6.26953125" style="1" customWidth="1"/>
    <col min="11796" max="11800" width="10.7265625" style="1" customWidth="1"/>
    <col min="11801" max="11801" width="7.1796875" style="1" customWidth="1"/>
    <col min="11802" max="11802" width="43.7265625" style="1" customWidth="1"/>
    <col min="11803" max="11803" width="13.81640625" style="1" customWidth="1"/>
    <col min="11804" max="12031" width="11.453125" style="1"/>
    <col min="12032" max="12032" width="3.453125" style="1" customWidth="1"/>
    <col min="12033" max="12033" width="16.26953125" style="1" customWidth="1"/>
    <col min="12034" max="12034" width="16.7265625" style="1" customWidth="1"/>
    <col min="12035" max="12035" width="11.81640625" style="1" customWidth="1"/>
    <col min="12036" max="12036" width="10.54296875" style="1" customWidth="1"/>
    <col min="12037" max="12037" width="13.7265625" style="1" customWidth="1"/>
    <col min="12038" max="12038" width="13.81640625" style="1" customWidth="1"/>
    <col min="12039" max="12039" width="14.7265625" style="1" customWidth="1"/>
    <col min="12040" max="12044" width="11.26953125" style="1" customWidth="1"/>
    <col min="12045" max="12045" width="7.1796875" style="1" customWidth="1"/>
    <col min="12046" max="12050" width="11.26953125" style="1" customWidth="1"/>
    <col min="12051" max="12051" width="6.26953125" style="1" customWidth="1"/>
    <col min="12052" max="12056" width="10.7265625" style="1" customWidth="1"/>
    <col min="12057" max="12057" width="7.1796875" style="1" customWidth="1"/>
    <col min="12058" max="12058" width="43.7265625" style="1" customWidth="1"/>
    <col min="12059" max="12059" width="13.81640625" style="1" customWidth="1"/>
    <col min="12060" max="12287" width="11.453125" style="1"/>
    <col min="12288" max="12288" width="3.453125" style="1" customWidth="1"/>
    <col min="12289" max="12289" width="16.26953125" style="1" customWidth="1"/>
    <col min="12290" max="12290" width="16.7265625" style="1" customWidth="1"/>
    <col min="12291" max="12291" width="11.81640625" style="1" customWidth="1"/>
    <col min="12292" max="12292" width="10.54296875" style="1" customWidth="1"/>
    <col min="12293" max="12293" width="13.7265625" style="1" customWidth="1"/>
    <col min="12294" max="12294" width="13.81640625" style="1" customWidth="1"/>
    <col min="12295" max="12295" width="14.7265625" style="1" customWidth="1"/>
    <col min="12296" max="12300" width="11.26953125" style="1" customWidth="1"/>
    <col min="12301" max="12301" width="7.1796875" style="1" customWidth="1"/>
    <col min="12302" max="12306" width="11.26953125" style="1" customWidth="1"/>
    <col min="12307" max="12307" width="6.26953125" style="1" customWidth="1"/>
    <col min="12308" max="12312" width="10.7265625" style="1" customWidth="1"/>
    <col min="12313" max="12313" width="7.1796875" style="1" customWidth="1"/>
    <col min="12314" max="12314" width="43.7265625" style="1" customWidth="1"/>
    <col min="12315" max="12315" width="13.81640625" style="1" customWidth="1"/>
    <col min="12316" max="12543" width="11.453125" style="1"/>
    <col min="12544" max="12544" width="3.453125" style="1" customWidth="1"/>
    <col min="12545" max="12545" width="16.26953125" style="1" customWidth="1"/>
    <col min="12546" max="12546" width="16.7265625" style="1" customWidth="1"/>
    <col min="12547" max="12547" width="11.81640625" style="1" customWidth="1"/>
    <col min="12548" max="12548" width="10.54296875" style="1" customWidth="1"/>
    <col min="12549" max="12549" width="13.7265625" style="1" customWidth="1"/>
    <col min="12550" max="12550" width="13.81640625" style="1" customWidth="1"/>
    <col min="12551" max="12551" width="14.7265625" style="1" customWidth="1"/>
    <col min="12552" max="12556" width="11.26953125" style="1" customWidth="1"/>
    <col min="12557" max="12557" width="7.1796875" style="1" customWidth="1"/>
    <col min="12558" max="12562" width="11.26953125" style="1" customWidth="1"/>
    <col min="12563" max="12563" width="6.26953125" style="1" customWidth="1"/>
    <col min="12564" max="12568" width="10.7265625" style="1" customWidth="1"/>
    <col min="12569" max="12569" width="7.1796875" style="1" customWidth="1"/>
    <col min="12570" max="12570" width="43.7265625" style="1" customWidth="1"/>
    <col min="12571" max="12571" width="13.81640625" style="1" customWidth="1"/>
    <col min="12572" max="12799" width="11.453125" style="1"/>
    <col min="12800" max="12800" width="3.453125" style="1" customWidth="1"/>
    <col min="12801" max="12801" width="16.26953125" style="1" customWidth="1"/>
    <col min="12802" max="12802" width="16.7265625" style="1" customWidth="1"/>
    <col min="12803" max="12803" width="11.81640625" style="1" customWidth="1"/>
    <col min="12804" max="12804" width="10.54296875" style="1" customWidth="1"/>
    <col min="12805" max="12805" width="13.7265625" style="1" customWidth="1"/>
    <col min="12806" max="12806" width="13.81640625" style="1" customWidth="1"/>
    <col min="12807" max="12807" width="14.7265625" style="1" customWidth="1"/>
    <col min="12808" max="12812" width="11.26953125" style="1" customWidth="1"/>
    <col min="12813" max="12813" width="7.1796875" style="1" customWidth="1"/>
    <col min="12814" max="12818" width="11.26953125" style="1" customWidth="1"/>
    <col min="12819" max="12819" width="6.26953125" style="1" customWidth="1"/>
    <col min="12820" max="12824" width="10.7265625" style="1" customWidth="1"/>
    <col min="12825" max="12825" width="7.1796875" style="1" customWidth="1"/>
    <col min="12826" max="12826" width="43.7265625" style="1" customWidth="1"/>
    <col min="12827" max="12827" width="13.81640625" style="1" customWidth="1"/>
    <col min="12828" max="13055" width="11.453125" style="1"/>
    <col min="13056" max="13056" width="3.453125" style="1" customWidth="1"/>
    <col min="13057" max="13057" width="16.26953125" style="1" customWidth="1"/>
    <col min="13058" max="13058" width="16.7265625" style="1" customWidth="1"/>
    <col min="13059" max="13059" width="11.81640625" style="1" customWidth="1"/>
    <col min="13060" max="13060" width="10.54296875" style="1" customWidth="1"/>
    <col min="13061" max="13061" width="13.7265625" style="1" customWidth="1"/>
    <col min="13062" max="13062" width="13.81640625" style="1" customWidth="1"/>
    <col min="13063" max="13063" width="14.7265625" style="1" customWidth="1"/>
    <col min="13064" max="13068" width="11.26953125" style="1" customWidth="1"/>
    <col min="13069" max="13069" width="7.1796875" style="1" customWidth="1"/>
    <col min="13070" max="13074" width="11.26953125" style="1" customWidth="1"/>
    <col min="13075" max="13075" width="6.26953125" style="1" customWidth="1"/>
    <col min="13076" max="13080" width="10.7265625" style="1" customWidth="1"/>
    <col min="13081" max="13081" width="7.1796875" style="1" customWidth="1"/>
    <col min="13082" max="13082" width="43.7265625" style="1" customWidth="1"/>
    <col min="13083" max="13083" width="13.81640625" style="1" customWidth="1"/>
    <col min="13084" max="13311" width="11.453125" style="1"/>
    <col min="13312" max="13312" width="3.453125" style="1" customWidth="1"/>
    <col min="13313" max="13313" width="16.26953125" style="1" customWidth="1"/>
    <col min="13314" max="13314" width="16.7265625" style="1" customWidth="1"/>
    <col min="13315" max="13315" width="11.81640625" style="1" customWidth="1"/>
    <col min="13316" max="13316" width="10.54296875" style="1" customWidth="1"/>
    <col min="13317" max="13317" width="13.7265625" style="1" customWidth="1"/>
    <col min="13318" max="13318" width="13.81640625" style="1" customWidth="1"/>
    <col min="13319" max="13319" width="14.7265625" style="1" customWidth="1"/>
    <col min="13320" max="13324" width="11.26953125" style="1" customWidth="1"/>
    <col min="13325" max="13325" width="7.1796875" style="1" customWidth="1"/>
    <col min="13326" max="13330" width="11.26953125" style="1" customWidth="1"/>
    <col min="13331" max="13331" width="6.26953125" style="1" customWidth="1"/>
    <col min="13332" max="13336" width="10.7265625" style="1" customWidth="1"/>
    <col min="13337" max="13337" width="7.1796875" style="1" customWidth="1"/>
    <col min="13338" max="13338" width="43.7265625" style="1" customWidth="1"/>
    <col min="13339" max="13339" width="13.81640625" style="1" customWidth="1"/>
    <col min="13340" max="13567" width="11.453125" style="1"/>
    <col min="13568" max="13568" width="3.453125" style="1" customWidth="1"/>
    <col min="13569" max="13569" width="16.26953125" style="1" customWidth="1"/>
    <col min="13570" max="13570" width="16.7265625" style="1" customWidth="1"/>
    <col min="13571" max="13571" width="11.81640625" style="1" customWidth="1"/>
    <col min="13572" max="13572" width="10.54296875" style="1" customWidth="1"/>
    <col min="13573" max="13573" width="13.7265625" style="1" customWidth="1"/>
    <col min="13574" max="13574" width="13.81640625" style="1" customWidth="1"/>
    <col min="13575" max="13575" width="14.7265625" style="1" customWidth="1"/>
    <col min="13576" max="13580" width="11.26953125" style="1" customWidth="1"/>
    <col min="13581" max="13581" width="7.1796875" style="1" customWidth="1"/>
    <col min="13582" max="13586" width="11.26953125" style="1" customWidth="1"/>
    <col min="13587" max="13587" width="6.26953125" style="1" customWidth="1"/>
    <col min="13588" max="13592" width="10.7265625" style="1" customWidth="1"/>
    <col min="13593" max="13593" width="7.1796875" style="1" customWidth="1"/>
    <col min="13594" max="13594" width="43.7265625" style="1" customWidth="1"/>
    <col min="13595" max="13595" width="13.81640625" style="1" customWidth="1"/>
    <col min="13596" max="13823" width="11.453125" style="1"/>
    <col min="13824" max="13824" width="3.453125" style="1" customWidth="1"/>
    <col min="13825" max="13825" width="16.26953125" style="1" customWidth="1"/>
    <col min="13826" max="13826" width="16.7265625" style="1" customWidth="1"/>
    <col min="13827" max="13827" width="11.81640625" style="1" customWidth="1"/>
    <col min="13828" max="13828" width="10.54296875" style="1" customWidth="1"/>
    <col min="13829" max="13829" width="13.7265625" style="1" customWidth="1"/>
    <col min="13830" max="13830" width="13.81640625" style="1" customWidth="1"/>
    <col min="13831" max="13831" width="14.7265625" style="1" customWidth="1"/>
    <col min="13832" max="13836" width="11.26953125" style="1" customWidth="1"/>
    <col min="13837" max="13837" width="7.1796875" style="1" customWidth="1"/>
    <col min="13838" max="13842" width="11.26953125" style="1" customWidth="1"/>
    <col min="13843" max="13843" width="6.26953125" style="1" customWidth="1"/>
    <col min="13844" max="13848" width="10.7265625" style="1" customWidth="1"/>
    <col min="13849" max="13849" width="7.1796875" style="1" customWidth="1"/>
    <col min="13850" max="13850" width="43.7265625" style="1" customWidth="1"/>
    <col min="13851" max="13851" width="13.81640625" style="1" customWidth="1"/>
    <col min="13852" max="14079" width="11.453125" style="1"/>
    <col min="14080" max="14080" width="3.453125" style="1" customWidth="1"/>
    <col min="14081" max="14081" width="16.26953125" style="1" customWidth="1"/>
    <col min="14082" max="14082" width="16.7265625" style="1" customWidth="1"/>
    <col min="14083" max="14083" width="11.81640625" style="1" customWidth="1"/>
    <col min="14084" max="14084" width="10.54296875" style="1" customWidth="1"/>
    <col min="14085" max="14085" width="13.7265625" style="1" customWidth="1"/>
    <col min="14086" max="14086" width="13.81640625" style="1" customWidth="1"/>
    <col min="14087" max="14087" width="14.7265625" style="1" customWidth="1"/>
    <col min="14088" max="14092" width="11.26953125" style="1" customWidth="1"/>
    <col min="14093" max="14093" width="7.1796875" style="1" customWidth="1"/>
    <col min="14094" max="14098" width="11.26953125" style="1" customWidth="1"/>
    <col min="14099" max="14099" width="6.26953125" style="1" customWidth="1"/>
    <col min="14100" max="14104" width="10.7265625" style="1" customWidth="1"/>
    <col min="14105" max="14105" width="7.1796875" style="1" customWidth="1"/>
    <col min="14106" max="14106" width="43.7265625" style="1" customWidth="1"/>
    <col min="14107" max="14107" width="13.81640625" style="1" customWidth="1"/>
    <col min="14108" max="14335" width="11.453125" style="1"/>
    <col min="14336" max="14336" width="3.453125" style="1" customWidth="1"/>
    <col min="14337" max="14337" width="16.26953125" style="1" customWidth="1"/>
    <col min="14338" max="14338" width="16.7265625" style="1" customWidth="1"/>
    <col min="14339" max="14339" width="11.81640625" style="1" customWidth="1"/>
    <col min="14340" max="14340" width="10.54296875" style="1" customWidth="1"/>
    <col min="14341" max="14341" width="13.7265625" style="1" customWidth="1"/>
    <col min="14342" max="14342" width="13.81640625" style="1" customWidth="1"/>
    <col min="14343" max="14343" width="14.7265625" style="1" customWidth="1"/>
    <col min="14344" max="14348" width="11.26953125" style="1" customWidth="1"/>
    <col min="14349" max="14349" width="7.1796875" style="1" customWidth="1"/>
    <col min="14350" max="14354" width="11.26953125" style="1" customWidth="1"/>
    <col min="14355" max="14355" width="6.26953125" style="1" customWidth="1"/>
    <col min="14356" max="14360" width="10.7265625" style="1" customWidth="1"/>
    <col min="14361" max="14361" width="7.1796875" style="1" customWidth="1"/>
    <col min="14362" max="14362" width="43.7265625" style="1" customWidth="1"/>
    <col min="14363" max="14363" width="13.81640625" style="1" customWidth="1"/>
    <col min="14364" max="14591" width="11.453125" style="1"/>
    <col min="14592" max="14592" width="3.453125" style="1" customWidth="1"/>
    <col min="14593" max="14593" width="16.26953125" style="1" customWidth="1"/>
    <col min="14594" max="14594" width="16.7265625" style="1" customWidth="1"/>
    <col min="14595" max="14595" width="11.81640625" style="1" customWidth="1"/>
    <col min="14596" max="14596" width="10.54296875" style="1" customWidth="1"/>
    <col min="14597" max="14597" width="13.7265625" style="1" customWidth="1"/>
    <col min="14598" max="14598" width="13.81640625" style="1" customWidth="1"/>
    <col min="14599" max="14599" width="14.7265625" style="1" customWidth="1"/>
    <col min="14600" max="14604" width="11.26953125" style="1" customWidth="1"/>
    <col min="14605" max="14605" width="7.1796875" style="1" customWidth="1"/>
    <col min="14606" max="14610" width="11.26953125" style="1" customWidth="1"/>
    <col min="14611" max="14611" width="6.26953125" style="1" customWidth="1"/>
    <col min="14612" max="14616" width="10.7265625" style="1" customWidth="1"/>
    <col min="14617" max="14617" width="7.1796875" style="1" customWidth="1"/>
    <col min="14618" max="14618" width="43.7265625" style="1" customWidth="1"/>
    <col min="14619" max="14619" width="13.81640625" style="1" customWidth="1"/>
    <col min="14620" max="14847" width="11.453125" style="1"/>
    <col min="14848" max="14848" width="3.453125" style="1" customWidth="1"/>
    <col min="14849" max="14849" width="16.26953125" style="1" customWidth="1"/>
    <col min="14850" max="14850" width="16.7265625" style="1" customWidth="1"/>
    <col min="14851" max="14851" width="11.81640625" style="1" customWidth="1"/>
    <col min="14852" max="14852" width="10.54296875" style="1" customWidth="1"/>
    <col min="14853" max="14853" width="13.7265625" style="1" customWidth="1"/>
    <col min="14854" max="14854" width="13.81640625" style="1" customWidth="1"/>
    <col min="14855" max="14855" width="14.7265625" style="1" customWidth="1"/>
    <col min="14856" max="14860" width="11.26953125" style="1" customWidth="1"/>
    <col min="14861" max="14861" width="7.1796875" style="1" customWidth="1"/>
    <col min="14862" max="14866" width="11.26953125" style="1" customWidth="1"/>
    <col min="14867" max="14867" width="6.26953125" style="1" customWidth="1"/>
    <col min="14868" max="14872" width="10.7265625" style="1" customWidth="1"/>
    <col min="14873" max="14873" width="7.1796875" style="1" customWidth="1"/>
    <col min="14874" max="14874" width="43.7265625" style="1" customWidth="1"/>
    <col min="14875" max="14875" width="13.81640625" style="1" customWidth="1"/>
    <col min="14876" max="15103" width="11.453125" style="1"/>
    <col min="15104" max="15104" width="3.453125" style="1" customWidth="1"/>
    <col min="15105" max="15105" width="16.26953125" style="1" customWidth="1"/>
    <col min="15106" max="15106" width="16.7265625" style="1" customWidth="1"/>
    <col min="15107" max="15107" width="11.81640625" style="1" customWidth="1"/>
    <col min="15108" max="15108" width="10.54296875" style="1" customWidth="1"/>
    <col min="15109" max="15109" width="13.7265625" style="1" customWidth="1"/>
    <col min="15110" max="15110" width="13.81640625" style="1" customWidth="1"/>
    <col min="15111" max="15111" width="14.7265625" style="1" customWidth="1"/>
    <col min="15112" max="15116" width="11.26953125" style="1" customWidth="1"/>
    <col min="15117" max="15117" width="7.1796875" style="1" customWidth="1"/>
    <col min="15118" max="15122" width="11.26953125" style="1" customWidth="1"/>
    <col min="15123" max="15123" width="6.26953125" style="1" customWidth="1"/>
    <col min="15124" max="15128" width="10.7265625" style="1" customWidth="1"/>
    <col min="15129" max="15129" width="7.1796875" style="1" customWidth="1"/>
    <col min="15130" max="15130" width="43.7265625" style="1" customWidth="1"/>
    <col min="15131" max="15131" width="13.81640625" style="1" customWidth="1"/>
    <col min="15132" max="15359" width="11.453125" style="1"/>
    <col min="15360" max="15360" width="3.453125" style="1" customWidth="1"/>
    <col min="15361" max="15361" width="16.26953125" style="1" customWidth="1"/>
    <col min="15362" max="15362" width="16.7265625" style="1" customWidth="1"/>
    <col min="15363" max="15363" width="11.81640625" style="1" customWidth="1"/>
    <col min="15364" max="15364" width="10.54296875" style="1" customWidth="1"/>
    <col min="15365" max="15365" width="13.7265625" style="1" customWidth="1"/>
    <col min="15366" max="15366" width="13.81640625" style="1" customWidth="1"/>
    <col min="15367" max="15367" width="14.7265625" style="1" customWidth="1"/>
    <col min="15368" max="15372" width="11.26953125" style="1" customWidth="1"/>
    <col min="15373" max="15373" width="7.1796875" style="1" customWidth="1"/>
    <col min="15374" max="15378" width="11.26953125" style="1" customWidth="1"/>
    <col min="15379" max="15379" width="6.26953125" style="1" customWidth="1"/>
    <col min="15380" max="15384" width="10.7265625" style="1" customWidth="1"/>
    <col min="15385" max="15385" width="7.1796875" style="1" customWidth="1"/>
    <col min="15386" max="15386" width="43.7265625" style="1" customWidth="1"/>
    <col min="15387" max="15387" width="13.81640625" style="1" customWidth="1"/>
    <col min="15388" max="15615" width="11.453125" style="1"/>
    <col min="15616" max="15616" width="3.453125" style="1" customWidth="1"/>
    <col min="15617" max="15617" width="16.26953125" style="1" customWidth="1"/>
    <col min="15618" max="15618" width="16.7265625" style="1" customWidth="1"/>
    <col min="15619" max="15619" width="11.81640625" style="1" customWidth="1"/>
    <col min="15620" max="15620" width="10.54296875" style="1" customWidth="1"/>
    <col min="15621" max="15621" width="13.7265625" style="1" customWidth="1"/>
    <col min="15622" max="15622" width="13.81640625" style="1" customWidth="1"/>
    <col min="15623" max="15623" width="14.7265625" style="1" customWidth="1"/>
    <col min="15624" max="15628" width="11.26953125" style="1" customWidth="1"/>
    <col min="15629" max="15629" width="7.1796875" style="1" customWidth="1"/>
    <col min="15630" max="15634" width="11.26953125" style="1" customWidth="1"/>
    <col min="15635" max="15635" width="6.26953125" style="1" customWidth="1"/>
    <col min="15636" max="15640" width="10.7265625" style="1" customWidth="1"/>
    <col min="15641" max="15641" width="7.1796875" style="1" customWidth="1"/>
    <col min="15642" max="15642" width="43.7265625" style="1" customWidth="1"/>
    <col min="15643" max="15643" width="13.81640625" style="1" customWidth="1"/>
    <col min="15644" max="15871" width="11.453125" style="1"/>
    <col min="15872" max="15872" width="3.453125" style="1" customWidth="1"/>
    <col min="15873" max="15873" width="16.26953125" style="1" customWidth="1"/>
    <col min="15874" max="15874" width="16.7265625" style="1" customWidth="1"/>
    <col min="15875" max="15875" width="11.81640625" style="1" customWidth="1"/>
    <col min="15876" max="15876" width="10.54296875" style="1" customWidth="1"/>
    <col min="15877" max="15877" width="13.7265625" style="1" customWidth="1"/>
    <col min="15878" max="15878" width="13.81640625" style="1" customWidth="1"/>
    <col min="15879" max="15879" width="14.7265625" style="1" customWidth="1"/>
    <col min="15880" max="15884" width="11.26953125" style="1" customWidth="1"/>
    <col min="15885" max="15885" width="7.1796875" style="1" customWidth="1"/>
    <col min="15886" max="15890" width="11.26953125" style="1" customWidth="1"/>
    <col min="15891" max="15891" width="6.26953125" style="1" customWidth="1"/>
    <col min="15892" max="15896" width="10.7265625" style="1" customWidth="1"/>
    <col min="15897" max="15897" width="7.1796875" style="1" customWidth="1"/>
    <col min="15898" max="15898" width="43.7265625" style="1" customWidth="1"/>
    <col min="15899" max="15899" width="13.81640625" style="1" customWidth="1"/>
    <col min="15900" max="16127" width="11.453125" style="1"/>
    <col min="16128" max="16128" width="3.453125" style="1" customWidth="1"/>
    <col min="16129" max="16129" width="16.26953125" style="1" customWidth="1"/>
    <col min="16130" max="16130" width="16.7265625" style="1" customWidth="1"/>
    <col min="16131" max="16131" width="11.81640625" style="1" customWidth="1"/>
    <col min="16132" max="16132" width="10.54296875" style="1" customWidth="1"/>
    <col min="16133" max="16133" width="13.7265625" style="1" customWidth="1"/>
    <col min="16134" max="16134" width="13.81640625" style="1" customWidth="1"/>
    <col min="16135" max="16135" width="14.7265625" style="1" customWidth="1"/>
    <col min="16136" max="16140" width="11.26953125" style="1" customWidth="1"/>
    <col min="16141" max="16141" width="7.1796875" style="1" customWidth="1"/>
    <col min="16142" max="16146" width="11.26953125" style="1" customWidth="1"/>
    <col min="16147" max="16147" width="6.26953125" style="1" customWidth="1"/>
    <col min="16148" max="16152" width="10.7265625" style="1" customWidth="1"/>
    <col min="16153" max="16153" width="7.1796875" style="1" customWidth="1"/>
    <col min="16154" max="16154" width="43.7265625" style="1" customWidth="1"/>
    <col min="16155" max="16155" width="13.81640625" style="1" customWidth="1"/>
    <col min="16156" max="16384" width="11.453125" style="1"/>
  </cols>
  <sheetData>
    <row r="1" spans="2:27" ht="13.15" customHeight="1" x14ac:dyDescent="0.25">
      <c r="E1" s="179"/>
      <c r="F1" s="179"/>
      <c r="G1" s="180"/>
      <c r="H1" s="345" t="s">
        <v>13</v>
      </c>
      <c r="I1" s="346"/>
      <c r="J1" s="346"/>
      <c r="K1" s="346"/>
      <c r="L1" s="346"/>
      <c r="M1" s="346"/>
      <c r="N1" s="346"/>
      <c r="O1" s="346"/>
      <c r="P1" s="346"/>
      <c r="Q1" s="346"/>
      <c r="R1" s="346"/>
      <c r="S1" s="346"/>
      <c r="T1" s="346"/>
      <c r="U1" s="346"/>
      <c r="V1" s="346"/>
      <c r="W1" s="346"/>
      <c r="X1" s="346"/>
      <c r="Y1" s="346"/>
      <c r="Z1" s="351"/>
      <c r="AA1" s="6"/>
    </row>
    <row r="2" spans="2:27" ht="18.649999999999999" customHeight="1" x14ac:dyDescent="0.3">
      <c r="B2" s="181" t="s">
        <v>0</v>
      </c>
      <c r="C2" s="182"/>
      <c r="E2" s="181" t="s">
        <v>7</v>
      </c>
      <c r="F2" s="183"/>
      <c r="G2" s="180"/>
      <c r="H2" s="347"/>
      <c r="I2" s="348"/>
      <c r="J2" s="348"/>
      <c r="K2" s="348"/>
      <c r="L2" s="348"/>
      <c r="M2" s="348"/>
      <c r="N2" s="348"/>
      <c r="O2" s="348"/>
      <c r="P2" s="348"/>
      <c r="Q2" s="348"/>
      <c r="R2" s="348"/>
      <c r="S2" s="348"/>
      <c r="T2" s="348"/>
      <c r="U2" s="348"/>
      <c r="V2" s="348"/>
      <c r="W2" s="348"/>
      <c r="X2" s="348"/>
      <c r="Y2" s="348"/>
      <c r="Z2" s="352"/>
      <c r="AA2" s="6"/>
    </row>
    <row r="3" spans="2:27" ht="12" customHeight="1" x14ac:dyDescent="0.3">
      <c r="B3" s="181" t="s">
        <v>1</v>
      </c>
      <c r="C3" s="182"/>
      <c r="E3" s="181" t="s">
        <v>14</v>
      </c>
      <c r="F3" s="184"/>
      <c r="H3" s="347"/>
      <c r="I3" s="348"/>
      <c r="J3" s="348"/>
      <c r="K3" s="348"/>
      <c r="L3" s="348"/>
      <c r="M3" s="348"/>
      <c r="N3" s="348"/>
      <c r="O3" s="348"/>
      <c r="P3" s="348"/>
      <c r="Q3" s="348"/>
      <c r="R3" s="348"/>
      <c r="S3" s="348"/>
      <c r="T3" s="348"/>
      <c r="U3" s="348"/>
      <c r="V3" s="348"/>
      <c r="W3" s="348"/>
      <c r="X3" s="348"/>
      <c r="Y3" s="348"/>
      <c r="Z3" s="352"/>
    </row>
    <row r="4" spans="2:27" ht="12" customHeight="1" x14ac:dyDescent="0.3">
      <c r="B4" s="181" t="s">
        <v>2</v>
      </c>
      <c r="C4" s="182"/>
      <c r="E4" s="181" t="s">
        <v>15</v>
      </c>
      <c r="F4" s="185"/>
      <c r="H4" s="347"/>
      <c r="I4" s="348"/>
      <c r="J4" s="348"/>
      <c r="K4" s="348"/>
      <c r="L4" s="348"/>
      <c r="M4" s="348"/>
      <c r="N4" s="348"/>
      <c r="O4" s="348"/>
      <c r="P4" s="348"/>
      <c r="Q4" s="348"/>
      <c r="R4" s="348"/>
      <c r="S4" s="348"/>
      <c r="T4" s="348"/>
      <c r="U4" s="348"/>
      <c r="V4" s="348"/>
      <c r="W4" s="348"/>
      <c r="X4" s="348"/>
      <c r="Y4" s="348"/>
      <c r="Z4" s="352"/>
      <c r="AA4" s="1"/>
    </row>
    <row r="5" spans="2:27" ht="13.5" customHeight="1" thickBot="1" x14ac:dyDescent="0.35">
      <c r="B5" s="181" t="s">
        <v>3</v>
      </c>
      <c r="C5" s="182"/>
      <c r="E5" s="179"/>
      <c r="F5" s="14"/>
      <c r="H5" s="349"/>
      <c r="I5" s="350"/>
      <c r="J5" s="350"/>
      <c r="K5" s="350"/>
      <c r="L5" s="350"/>
      <c r="M5" s="350"/>
      <c r="N5" s="350"/>
      <c r="O5" s="350"/>
      <c r="P5" s="350"/>
      <c r="Q5" s="350"/>
      <c r="R5" s="350"/>
      <c r="S5" s="350"/>
      <c r="T5" s="350"/>
      <c r="U5" s="350"/>
      <c r="V5" s="350"/>
      <c r="W5" s="350"/>
      <c r="X5" s="350"/>
      <c r="Y5" s="350"/>
      <c r="Z5" s="353"/>
      <c r="AA5" s="1"/>
    </row>
    <row r="6" spans="2:27" s="24" customFormat="1" ht="21.65" customHeight="1" thickBot="1" x14ac:dyDescent="0.25">
      <c r="E6" s="13"/>
      <c r="F6" s="13"/>
      <c r="G6" s="25"/>
      <c r="H6" s="354" t="s">
        <v>16</v>
      </c>
      <c r="I6" s="355"/>
      <c r="J6" s="355"/>
      <c r="K6" s="355"/>
      <c r="L6" s="355"/>
      <c r="M6" s="355"/>
      <c r="N6" s="355"/>
      <c r="O6" s="355"/>
      <c r="P6" s="355"/>
      <c r="Q6" s="355"/>
      <c r="R6" s="355"/>
      <c r="S6" s="355"/>
      <c r="T6" s="355"/>
      <c r="U6" s="355"/>
      <c r="V6" s="355"/>
      <c r="W6" s="355"/>
      <c r="X6" s="355"/>
      <c r="Y6" s="356"/>
      <c r="Z6" s="357" t="s">
        <v>17</v>
      </c>
      <c r="AA6" s="1"/>
    </row>
    <row r="7" spans="2:27" s="24" customFormat="1" ht="21.65" customHeight="1" x14ac:dyDescent="0.2">
      <c r="B7" s="219" t="s">
        <v>18</v>
      </c>
      <c r="C7" s="220"/>
      <c r="D7" s="221"/>
      <c r="E7" s="359" t="s">
        <v>19</v>
      </c>
      <c r="F7" s="360"/>
      <c r="G7" s="361" t="s">
        <v>20</v>
      </c>
      <c r="H7" s="363" t="s">
        <v>21</v>
      </c>
      <c r="I7" s="364"/>
      <c r="J7" s="364"/>
      <c r="K7" s="364"/>
      <c r="L7" s="364"/>
      <c r="M7" s="342" t="s">
        <v>22</v>
      </c>
      <c r="N7" s="365" t="s">
        <v>23</v>
      </c>
      <c r="O7" s="365"/>
      <c r="P7" s="365"/>
      <c r="Q7" s="365"/>
      <c r="R7" s="365"/>
      <c r="S7" s="342" t="s">
        <v>22</v>
      </c>
      <c r="T7" s="344" t="s">
        <v>24</v>
      </c>
      <c r="U7" s="344"/>
      <c r="V7" s="344"/>
      <c r="W7" s="344"/>
      <c r="X7" s="344"/>
      <c r="Y7" s="342" t="s">
        <v>22</v>
      </c>
      <c r="Z7" s="358"/>
      <c r="AA7" s="1"/>
    </row>
    <row r="8" spans="2:27" ht="36" customHeight="1" thickBot="1" x14ac:dyDescent="0.25">
      <c r="B8" s="222"/>
      <c r="C8" s="223"/>
      <c r="D8" s="224"/>
      <c r="E8" s="286" t="s">
        <v>25</v>
      </c>
      <c r="F8" s="287" t="s">
        <v>26</v>
      </c>
      <c r="G8" s="362"/>
      <c r="H8" s="288" t="s">
        <v>27</v>
      </c>
      <c r="I8" s="289" t="s">
        <v>28</v>
      </c>
      <c r="J8" s="289" t="s">
        <v>29</v>
      </c>
      <c r="K8" s="289" t="s">
        <v>30</v>
      </c>
      <c r="L8" s="289" t="s">
        <v>31</v>
      </c>
      <c r="M8" s="343"/>
      <c r="N8" s="288" t="s">
        <v>27</v>
      </c>
      <c r="O8" s="289" t="s">
        <v>28</v>
      </c>
      <c r="P8" s="289" t="s">
        <v>29</v>
      </c>
      <c r="Q8" s="289" t="s">
        <v>30</v>
      </c>
      <c r="R8" s="289" t="s">
        <v>31</v>
      </c>
      <c r="S8" s="343"/>
      <c r="T8" s="288" t="s">
        <v>27</v>
      </c>
      <c r="U8" s="289" t="s">
        <v>28</v>
      </c>
      <c r="V8" s="289" t="s">
        <v>29</v>
      </c>
      <c r="W8" s="289" t="s">
        <v>30</v>
      </c>
      <c r="X8" s="289" t="s">
        <v>31</v>
      </c>
      <c r="Y8" s="343"/>
      <c r="Z8" s="358"/>
      <c r="AA8" s="1"/>
    </row>
    <row r="9" spans="2:27" ht="13.15" customHeight="1" x14ac:dyDescent="0.25">
      <c r="B9" s="215" t="s">
        <v>32</v>
      </c>
      <c r="C9" s="216"/>
      <c r="D9" s="216"/>
      <c r="E9" s="28"/>
      <c r="F9" s="28"/>
      <c r="G9" s="271"/>
      <c r="H9" s="31"/>
      <c r="I9" s="31"/>
      <c r="J9" s="31"/>
      <c r="K9" s="31"/>
      <c r="L9" s="31"/>
      <c r="M9" s="31"/>
      <c r="N9" s="31"/>
      <c r="O9" s="31"/>
      <c r="P9" s="31"/>
      <c r="Q9" s="31"/>
      <c r="R9" s="31"/>
      <c r="S9" s="31"/>
      <c r="T9" s="31"/>
      <c r="U9" s="31"/>
      <c r="V9" s="31"/>
      <c r="W9" s="31"/>
      <c r="X9" s="31"/>
      <c r="Y9" s="31"/>
      <c r="Z9" s="272"/>
      <c r="AA9" s="1"/>
    </row>
    <row r="10" spans="2:27" ht="13.15" customHeight="1" x14ac:dyDescent="0.25">
      <c r="B10" s="230" t="s">
        <v>33</v>
      </c>
      <c r="C10" s="248"/>
      <c r="D10" s="248"/>
      <c r="E10" s="34"/>
      <c r="F10" s="34"/>
      <c r="G10" s="293"/>
      <c r="H10" s="47">
        <v>1</v>
      </c>
      <c r="I10" s="47">
        <v>1</v>
      </c>
      <c r="J10" s="47">
        <v>1</v>
      </c>
      <c r="K10" s="47">
        <v>1</v>
      </c>
      <c r="L10" s="47">
        <v>1</v>
      </c>
      <c r="M10" s="40">
        <v>1</v>
      </c>
      <c r="N10" s="47">
        <v>1</v>
      </c>
      <c r="O10" s="47">
        <v>1</v>
      </c>
      <c r="P10" s="47">
        <v>1</v>
      </c>
      <c r="Q10" s="47">
        <v>1</v>
      </c>
      <c r="R10" s="47">
        <v>1</v>
      </c>
      <c r="S10" s="40">
        <v>1</v>
      </c>
      <c r="T10" s="47">
        <v>0</v>
      </c>
      <c r="U10" s="47">
        <v>0</v>
      </c>
      <c r="V10" s="47">
        <v>0</v>
      </c>
      <c r="W10" s="47">
        <v>0</v>
      </c>
      <c r="X10" s="47">
        <v>0</v>
      </c>
      <c r="Y10" s="285">
        <v>0</v>
      </c>
      <c r="Z10" s="273"/>
      <c r="AA10" s="1"/>
    </row>
    <row r="11" spans="2:27" ht="13.15" customHeight="1" x14ac:dyDescent="0.25">
      <c r="B11" s="213" t="s">
        <v>34</v>
      </c>
      <c r="C11" s="248"/>
      <c r="D11" s="248"/>
      <c r="E11" s="34"/>
      <c r="F11" s="34"/>
      <c r="G11" s="293"/>
      <c r="H11" s="47">
        <f>H10</f>
        <v>1</v>
      </c>
      <c r="I11" s="47">
        <f>I10</f>
        <v>1</v>
      </c>
      <c r="J11" s="47">
        <f>J10</f>
        <v>1</v>
      </c>
      <c r="K11" s="47">
        <f>K10</f>
        <v>1</v>
      </c>
      <c r="L11" s="47">
        <f>L10</f>
        <v>1</v>
      </c>
      <c r="M11" s="40">
        <v>1</v>
      </c>
      <c r="N11" s="47">
        <f>N10</f>
        <v>1</v>
      </c>
      <c r="O11" s="47">
        <f>O10</f>
        <v>1</v>
      </c>
      <c r="P11" s="47">
        <f>P10</f>
        <v>1</v>
      </c>
      <c r="Q11" s="47">
        <f>Q10</f>
        <v>1</v>
      </c>
      <c r="R11" s="47">
        <f>R10</f>
        <v>1</v>
      </c>
      <c r="S11" s="40">
        <v>1</v>
      </c>
      <c r="T11" s="47">
        <f>T10</f>
        <v>0</v>
      </c>
      <c r="U11" s="47">
        <f>U10</f>
        <v>0</v>
      </c>
      <c r="V11" s="47">
        <f>V10</f>
        <v>0</v>
      </c>
      <c r="W11" s="47">
        <f>W10</f>
        <v>0</v>
      </c>
      <c r="X11" s="47">
        <f>X10</f>
        <v>0</v>
      </c>
      <c r="Y11" s="285">
        <v>0</v>
      </c>
      <c r="Z11" s="273"/>
      <c r="AA11" s="1"/>
    </row>
    <row r="12" spans="2:27" ht="13.15" customHeight="1" x14ac:dyDescent="0.25">
      <c r="B12" s="213" t="s">
        <v>35</v>
      </c>
      <c r="C12" s="248"/>
      <c r="D12" s="248"/>
      <c r="E12" s="34"/>
      <c r="F12" s="34"/>
      <c r="G12" s="293"/>
      <c r="H12" s="47">
        <f>H10</f>
        <v>1</v>
      </c>
      <c r="I12" s="47">
        <f>I10</f>
        <v>1</v>
      </c>
      <c r="J12" s="47">
        <f>J10</f>
        <v>1</v>
      </c>
      <c r="K12" s="47">
        <f>K10</f>
        <v>1</v>
      </c>
      <c r="L12" s="47">
        <f>L10</f>
        <v>1</v>
      </c>
      <c r="M12" s="40">
        <v>1</v>
      </c>
      <c r="N12" s="47">
        <f>N10</f>
        <v>1</v>
      </c>
      <c r="O12" s="47">
        <f>O10</f>
        <v>1</v>
      </c>
      <c r="P12" s="47">
        <f>P10</f>
        <v>1</v>
      </c>
      <c r="Q12" s="47">
        <f>Q10</f>
        <v>1</v>
      </c>
      <c r="R12" s="47">
        <f>R10</f>
        <v>1</v>
      </c>
      <c r="S12" s="40">
        <v>1</v>
      </c>
      <c r="T12" s="47">
        <f>T10</f>
        <v>0</v>
      </c>
      <c r="U12" s="47">
        <f>U10</f>
        <v>0</v>
      </c>
      <c r="V12" s="47">
        <f>V10</f>
        <v>0</v>
      </c>
      <c r="W12" s="47">
        <f>W10</f>
        <v>0</v>
      </c>
      <c r="X12" s="47">
        <f>X10</f>
        <v>0</v>
      </c>
      <c r="Y12" s="285">
        <v>0</v>
      </c>
      <c r="Z12" s="273"/>
      <c r="AA12" s="1"/>
    </row>
    <row r="13" spans="2:27" ht="13.15" customHeight="1" x14ac:dyDescent="0.25">
      <c r="B13" s="230" t="s">
        <v>36</v>
      </c>
      <c r="C13" s="248"/>
      <c r="D13" s="248"/>
      <c r="E13" s="34"/>
      <c r="F13" s="34"/>
      <c r="G13" s="293"/>
      <c r="H13" s="47">
        <f>H10</f>
        <v>1</v>
      </c>
      <c r="I13" s="47">
        <f>I10</f>
        <v>1</v>
      </c>
      <c r="J13" s="47">
        <f>J10</f>
        <v>1</v>
      </c>
      <c r="K13" s="47">
        <f>K10</f>
        <v>1</v>
      </c>
      <c r="L13" s="47">
        <f>L10</f>
        <v>1</v>
      </c>
      <c r="M13" s="40">
        <v>1</v>
      </c>
      <c r="N13" s="47">
        <f>N10</f>
        <v>1</v>
      </c>
      <c r="O13" s="47">
        <f>O10</f>
        <v>1</v>
      </c>
      <c r="P13" s="47">
        <f>P10</f>
        <v>1</v>
      </c>
      <c r="Q13" s="47">
        <f>Q10</f>
        <v>1</v>
      </c>
      <c r="R13" s="47">
        <f>R10</f>
        <v>1</v>
      </c>
      <c r="S13" s="40">
        <v>1</v>
      </c>
      <c r="T13" s="47">
        <v>1</v>
      </c>
      <c r="U13" s="47">
        <v>1</v>
      </c>
      <c r="V13" s="47">
        <v>1</v>
      </c>
      <c r="W13" s="47">
        <v>1</v>
      </c>
      <c r="X13" s="47">
        <v>1</v>
      </c>
      <c r="Y13" s="285">
        <v>1</v>
      </c>
      <c r="Z13" s="273"/>
      <c r="AA13" s="1"/>
    </row>
    <row r="14" spans="2:27" ht="13.15" customHeight="1" x14ac:dyDescent="0.25">
      <c r="B14" s="230" t="s">
        <v>37</v>
      </c>
      <c r="C14" s="248"/>
      <c r="D14" s="248"/>
      <c r="E14" s="34"/>
      <c r="F14" s="34"/>
      <c r="G14" s="293"/>
      <c r="H14" s="47">
        <v>0</v>
      </c>
      <c r="I14" s="47">
        <v>0</v>
      </c>
      <c r="J14" s="47">
        <v>0</v>
      </c>
      <c r="K14" s="47">
        <v>0</v>
      </c>
      <c r="L14" s="47">
        <v>0</v>
      </c>
      <c r="M14" s="40">
        <v>0</v>
      </c>
      <c r="N14" s="47">
        <v>0</v>
      </c>
      <c r="O14" s="47">
        <v>0</v>
      </c>
      <c r="P14" s="47">
        <v>0</v>
      </c>
      <c r="Q14" s="47">
        <v>0</v>
      </c>
      <c r="R14" s="47">
        <v>0</v>
      </c>
      <c r="S14" s="40">
        <v>0</v>
      </c>
      <c r="T14" s="47">
        <v>1</v>
      </c>
      <c r="U14" s="47">
        <v>1</v>
      </c>
      <c r="V14" s="47">
        <v>1</v>
      </c>
      <c r="W14" s="47">
        <v>1</v>
      </c>
      <c r="X14" s="47">
        <v>1</v>
      </c>
      <c r="Y14" s="285">
        <v>1</v>
      </c>
      <c r="Z14" s="273"/>
      <c r="AA14" s="1"/>
    </row>
    <row r="15" spans="2:27" ht="13.15" customHeight="1" x14ac:dyDescent="0.25">
      <c r="B15" s="230" t="s">
        <v>38</v>
      </c>
      <c r="C15" s="248"/>
      <c r="D15" s="248"/>
      <c r="E15" s="34"/>
      <c r="F15" s="34"/>
      <c r="G15" s="293"/>
      <c r="H15" s="47">
        <f>H12</f>
        <v>1</v>
      </c>
      <c r="I15" s="47">
        <f>I12</f>
        <v>1</v>
      </c>
      <c r="J15" s="47">
        <f>J12</f>
        <v>1</v>
      </c>
      <c r="K15" s="47">
        <f>K12</f>
        <v>1</v>
      </c>
      <c r="L15" s="47">
        <f>L12</f>
        <v>1</v>
      </c>
      <c r="M15" s="40">
        <v>1</v>
      </c>
      <c r="N15" s="47">
        <f>N12</f>
        <v>1</v>
      </c>
      <c r="O15" s="47">
        <f>O12</f>
        <v>1</v>
      </c>
      <c r="P15" s="47">
        <f>P12</f>
        <v>1</v>
      </c>
      <c r="Q15" s="47">
        <f>Q12</f>
        <v>1</v>
      </c>
      <c r="R15" s="47">
        <f>R12</f>
        <v>1</v>
      </c>
      <c r="S15" s="40">
        <v>1</v>
      </c>
      <c r="T15" s="47">
        <v>1</v>
      </c>
      <c r="U15" s="47">
        <v>1</v>
      </c>
      <c r="V15" s="47">
        <v>1</v>
      </c>
      <c r="W15" s="47">
        <v>1</v>
      </c>
      <c r="X15" s="47">
        <v>1</v>
      </c>
      <c r="Y15" s="285">
        <v>1</v>
      </c>
      <c r="Z15" s="273"/>
      <c r="AA15" s="1"/>
    </row>
    <row r="16" spans="2:27" ht="13.15" customHeight="1" x14ac:dyDescent="0.25">
      <c r="B16" s="230" t="s">
        <v>39</v>
      </c>
      <c r="C16" s="248"/>
      <c r="D16" s="248"/>
      <c r="E16" s="34"/>
      <c r="F16" s="34"/>
      <c r="G16" s="293"/>
      <c r="H16" s="55">
        <v>1</v>
      </c>
      <c r="I16" s="55">
        <v>1</v>
      </c>
      <c r="J16" s="55">
        <v>1</v>
      </c>
      <c r="K16" s="55">
        <v>1</v>
      </c>
      <c r="L16" s="55">
        <v>1</v>
      </c>
      <c r="M16" s="57">
        <v>1</v>
      </c>
      <c r="N16" s="55">
        <v>1</v>
      </c>
      <c r="O16" s="55">
        <v>1</v>
      </c>
      <c r="P16" s="55">
        <v>1</v>
      </c>
      <c r="Q16" s="55">
        <v>1</v>
      </c>
      <c r="R16" s="55">
        <v>1</v>
      </c>
      <c r="S16" s="57">
        <v>1</v>
      </c>
      <c r="T16" s="55">
        <v>0</v>
      </c>
      <c r="U16" s="55">
        <v>0</v>
      </c>
      <c r="V16" s="55">
        <v>0</v>
      </c>
      <c r="W16" s="55">
        <v>0</v>
      </c>
      <c r="X16" s="55">
        <v>0</v>
      </c>
      <c r="Y16" s="57">
        <v>0</v>
      </c>
      <c r="Z16" s="273"/>
      <c r="AA16" s="1"/>
    </row>
    <row r="17" spans="2:27" ht="13.15" customHeight="1" x14ac:dyDescent="0.25">
      <c r="B17" s="230" t="s">
        <v>40</v>
      </c>
      <c r="C17" s="248"/>
      <c r="D17" s="248"/>
      <c r="E17" s="34"/>
      <c r="F17" s="34"/>
      <c r="G17" s="293"/>
      <c r="H17" s="55">
        <v>1</v>
      </c>
      <c r="I17" s="55">
        <v>1</v>
      </c>
      <c r="J17" s="55">
        <v>1</v>
      </c>
      <c r="K17" s="55">
        <v>1</v>
      </c>
      <c r="L17" s="55">
        <v>1</v>
      </c>
      <c r="M17" s="57">
        <v>1</v>
      </c>
      <c r="N17" s="55">
        <v>1</v>
      </c>
      <c r="O17" s="55">
        <v>1</v>
      </c>
      <c r="P17" s="55">
        <v>1</v>
      </c>
      <c r="Q17" s="55">
        <v>1</v>
      </c>
      <c r="R17" s="55">
        <v>1</v>
      </c>
      <c r="S17" s="57">
        <v>1</v>
      </c>
      <c r="T17" s="55">
        <v>0</v>
      </c>
      <c r="U17" s="55">
        <v>0</v>
      </c>
      <c r="V17" s="55">
        <v>0</v>
      </c>
      <c r="W17" s="55">
        <v>0</v>
      </c>
      <c r="X17" s="55">
        <v>0</v>
      </c>
      <c r="Y17" s="57">
        <v>0</v>
      </c>
      <c r="Z17" s="273"/>
      <c r="AA17" s="1"/>
    </row>
    <row r="18" spans="2:27" ht="13.15" customHeight="1" x14ac:dyDescent="0.25">
      <c r="B18" s="230" t="s">
        <v>41</v>
      </c>
      <c r="C18" s="248"/>
      <c r="D18" s="248"/>
      <c r="E18" s="34"/>
      <c r="F18" s="34"/>
      <c r="G18" s="293"/>
      <c r="H18" s="55">
        <v>1</v>
      </c>
      <c r="I18" s="55">
        <v>1</v>
      </c>
      <c r="J18" s="55">
        <v>1</v>
      </c>
      <c r="K18" s="55">
        <v>1</v>
      </c>
      <c r="L18" s="55">
        <v>1</v>
      </c>
      <c r="M18" s="57">
        <v>1</v>
      </c>
      <c r="N18" s="55">
        <v>1</v>
      </c>
      <c r="O18" s="55">
        <v>1</v>
      </c>
      <c r="P18" s="55">
        <v>1</v>
      </c>
      <c r="Q18" s="55">
        <v>1</v>
      </c>
      <c r="R18" s="55">
        <v>1</v>
      </c>
      <c r="S18" s="57">
        <v>1</v>
      </c>
      <c r="T18" s="55">
        <v>0</v>
      </c>
      <c r="U18" s="55">
        <v>0</v>
      </c>
      <c r="V18" s="55">
        <v>0</v>
      </c>
      <c r="W18" s="55">
        <v>0</v>
      </c>
      <c r="X18" s="55">
        <v>0</v>
      </c>
      <c r="Y18" s="57">
        <v>0</v>
      </c>
      <c r="Z18" s="273"/>
      <c r="AA18" s="1"/>
    </row>
    <row r="19" spans="2:27" ht="13.15" customHeight="1" x14ac:dyDescent="0.25">
      <c r="B19" s="230" t="s">
        <v>42</v>
      </c>
      <c r="C19" s="248"/>
      <c r="D19" s="248"/>
      <c r="E19" s="34"/>
      <c r="F19" s="34"/>
      <c r="G19" s="293"/>
      <c r="H19" s="47">
        <v>0.25</v>
      </c>
      <c r="I19" s="47">
        <v>0.25</v>
      </c>
      <c r="J19" s="47">
        <v>0.25</v>
      </c>
      <c r="K19" s="47">
        <v>0.25</v>
      </c>
      <c r="L19" s="47">
        <v>0.25</v>
      </c>
      <c r="M19" s="40">
        <v>0</v>
      </c>
      <c r="N19" s="47">
        <v>0.25</v>
      </c>
      <c r="O19" s="47">
        <v>0.25</v>
      </c>
      <c r="P19" s="47">
        <v>0.25</v>
      </c>
      <c r="Q19" s="47">
        <v>0.25</v>
      </c>
      <c r="R19" s="47">
        <v>0.25</v>
      </c>
      <c r="S19" s="40">
        <v>0</v>
      </c>
      <c r="T19" s="47">
        <v>0.25</v>
      </c>
      <c r="U19" s="47">
        <v>0.25</v>
      </c>
      <c r="V19" s="47">
        <v>0.25</v>
      </c>
      <c r="W19" s="47">
        <v>0.25</v>
      </c>
      <c r="X19" s="47">
        <v>0.25</v>
      </c>
      <c r="Y19" s="285">
        <v>0.5</v>
      </c>
      <c r="Z19" s="273"/>
      <c r="AA19" s="1"/>
    </row>
    <row r="20" spans="2:27" ht="13.15" customHeight="1" x14ac:dyDescent="0.25">
      <c r="B20" s="230" t="s">
        <v>43</v>
      </c>
      <c r="C20" s="248"/>
      <c r="D20" s="248"/>
      <c r="E20" s="34"/>
      <c r="F20" s="34"/>
      <c r="G20" s="293"/>
      <c r="H20" s="47">
        <v>0.3</v>
      </c>
      <c r="I20" s="47">
        <v>0.3</v>
      </c>
      <c r="J20" s="47">
        <v>0.3</v>
      </c>
      <c r="K20" s="47">
        <v>0.3</v>
      </c>
      <c r="L20" s="47">
        <v>0.3</v>
      </c>
      <c r="M20" s="40">
        <v>1</v>
      </c>
      <c r="N20" s="47">
        <v>0.3</v>
      </c>
      <c r="O20" s="47">
        <v>0.3</v>
      </c>
      <c r="P20" s="47">
        <v>0.3</v>
      </c>
      <c r="Q20" s="47">
        <v>0.3</v>
      </c>
      <c r="R20" s="47">
        <v>0.3</v>
      </c>
      <c r="S20" s="40">
        <v>1</v>
      </c>
      <c r="T20" s="47">
        <v>0.1</v>
      </c>
      <c r="U20" s="47">
        <v>0.1</v>
      </c>
      <c r="V20" s="47">
        <v>0.1</v>
      </c>
      <c r="W20" s="47">
        <v>0.1</v>
      </c>
      <c r="X20" s="47">
        <v>0.1</v>
      </c>
      <c r="Y20" s="285">
        <v>1</v>
      </c>
      <c r="Z20" s="273"/>
      <c r="AA20" s="1"/>
    </row>
    <row r="21" spans="2:27" ht="13.15" customHeight="1" x14ac:dyDescent="0.25">
      <c r="B21" s="230" t="s">
        <v>44</v>
      </c>
      <c r="C21" s="248"/>
      <c r="D21" s="248"/>
      <c r="E21" s="34"/>
      <c r="F21" s="34"/>
      <c r="G21" s="293"/>
      <c r="H21" s="47">
        <v>0.3</v>
      </c>
      <c r="I21" s="47">
        <v>0.3</v>
      </c>
      <c r="J21" s="47">
        <v>0.3</v>
      </c>
      <c r="K21" s="47">
        <v>0.3</v>
      </c>
      <c r="L21" s="47">
        <v>0.3</v>
      </c>
      <c r="M21" s="40">
        <v>1</v>
      </c>
      <c r="N21" s="47">
        <v>0.3</v>
      </c>
      <c r="O21" s="47">
        <v>0.3</v>
      </c>
      <c r="P21" s="47">
        <v>0.3</v>
      </c>
      <c r="Q21" s="47">
        <v>0.3</v>
      </c>
      <c r="R21" s="47">
        <v>0.3</v>
      </c>
      <c r="S21" s="40">
        <v>1</v>
      </c>
      <c r="T21" s="47">
        <v>0.1</v>
      </c>
      <c r="U21" s="47">
        <v>0.1</v>
      </c>
      <c r="V21" s="47">
        <v>0.1</v>
      </c>
      <c r="W21" s="47">
        <v>0.1</v>
      </c>
      <c r="X21" s="47">
        <v>0.1</v>
      </c>
      <c r="Y21" s="285">
        <v>1</v>
      </c>
      <c r="Z21" s="273"/>
      <c r="AA21" s="1"/>
    </row>
    <row r="22" spans="2:27" ht="13.15" customHeight="1" x14ac:dyDescent="0.25">
      <c r="B22" s="230" t="s">
        <v>45</v>
      </c>
      <c r="C22" s="248"/>
      <c r="D22" s="248"/>
      <c r="E22" s="34"/>
      <c r="F22" s="34"/>
      <c r="G22" s="293"/>
      <c r="H22" s="47">
        <v>1</v>
      </c>
      <c r="I22" s="47">
        <v>1</v>
      </c>
      <c r="J22" s="47">
        <v>1</v>
      </c>
      <c r="K22" s="47">
        <v>1</v>
      </c>
      <c r="L22" s="47">
        <v>1</v>
      </c>
      <c r="M22" s="40">
        <v>1</v>
      </c>
      <c r="N22" s="47">
        <v>1</v>
      </c>
      <c r="O22" s="47">
        <v>1</v>
      </c>
      <c r="P22" s="47">
        <v>1</v>
      </c>
      <c r="Q22" s="47">
        <v>1</v>
      </c>
      <c r="R22" s="47">
        <v>1</v>
      </c>
      <c r="S22" s="40">
        <v>1</v>
      </c>
      <c r="T22" s="47">
        <v>0</v>
      </c>
      <c r="U22" s="47">
        <v>0</v>
      </c>
      <c r="V22" s="47">
        <v>0</v>
      </c>
      <c r="W22" s="47">
        <v>0</v>
      </c>
      <c r="X22" s="47">
        <v>0</v>
      </c>
      <c r="Y22" s="285">
        <v>0</v>
      </c>
      <c r="Z22" s="273"/>
      <c r="AA22" s="1"/>
    </row>
    <row r="23" spans="2:27" ht="12" customHeight="1" x14ac:dyDescent="0.25">
      <c r="B23" s="230" t="s">
        <v>46</v>
      </c>
      <c r="C23" s="248"/>
      <c r="D23" s="248"/>
      <c r="E23" s="34"/>
      <c r="F23" s="34"/>
      <c r="G23" s="293"/>
      <c r="H23" s="47">
        <v>1</v>
      </c>
      <c r="I23" s="47">
        <v>1</v>
      </c>
      <c r="J23" s="47">
        <v>1</v>
      </c>
      <c r="K23" s="47">
        <v>1</v>
      </c>
      <c r="L23" s="47">
        <v>1</v>
      </c>
      <c r="M23" s="40">
        <v>1</v>
      </c>
      <c r="N23" s="47">
        <v>1</v>
      </c>
      <c r="O23" s="47">
        <v>1</v>
      </c>
      <c r="P23" s="47">
        <v>1</v>
      </c>
      <c r="Q23" s="47">
        <v>1</v>
      </c>
      <c r="R23" s="47">
        <v>1</v>
      </c>
      <c r="S23" s="40">
        <v>1</v>
      </c>
      <c r="T23" s="47">
        <v>0</v>
      </c>
      <c r="U23" s="47">
        <v>0</v>
      </c>
      <c r="V23" s="47">
        <v>0</v>
      </c>
      <c r="W23" s="47">
        <v>0</v>
      </c>
      <c r="X23" s="47">
        <v>0</v>
      </c>
      <c r="Y23" s="285">
        <v>0</v>
      </c>
      <c r="Z23" s="273"/>
      <c r="AA23" s="1"/>
    </row>
    <row r="24" spans="2:27" ht="13.15" customHeight="1" x14ac:dyDescent="0.25">
      <c r="B24" s="230" t="s">
        <v>47</v>
      </c>
      <c r="C24" s="248"/>
      <c r="D24" s="248"/>
      <c r="E24" s="34"/>
      <c r="F24" s="34"/>
      <c r="G24" s="293"/>
      <c r="H24" s="47">
        <v>1</v>
      </c>
      <c r="I24" s="47">
        <v>1</v>
      </c>
      <c r="J24" s="47">
        <v>1</v>
      </c>
      <c r="K24" s="47">
        <v>1</v>
      </c>
      <c r="L24" s="47">
        <v>1</v>
      </c>
      <c r="M24" s="40">
        <v>1</v>
      </c>
      <c r="N24" s="47">
        <v>1</v>
      </c>
      <c r="O24" s="47">
        <v>1</v>
      </c>
      <c r="P24" s="47">
        <v>1</v>
      </c>
      <c r="Q24" s="47">
        <v>1</v>
      </c>
      <c r="R24" s="47">
        <v>1</v>
      </c>
      <c r="S24" s="40">
        <v>1</v>
      </c>
      <c r="T24" s="47">
        <v>0</v>
      </c>
      <c r="U24" s="47">
        <v>0</v>
      </c>
      <c r="V24" s="47">
        <v>0</v>
      </c>
      <c r="W24" s="47">
        <v>0</v>
      </c>
      <c r="X24" s="47">
        <v>0</v>
      </c>
      <c r="Y24" s="285">
        <v>0</v>
      </c>
      <c r="Z24" s="273"/>
      <c r="AA24" s="1"/>
    </row>
    <row r="25" spans="2:27" ht="13.15" customHeight="1" thickBot="1" x14ac:dyDescent="0.3">
      <c r="B25" s="278" t="s">
        <v>48</v>
      </c>
      <c r="C25" s="257"/>
      <c r="D25" s="257"/>
      <c r="E25" s="34"/>
      <c r="F25" s="34"/>
      <c r="G25" s="302"/>
      <c r="H25" s="70">
        <v>1</v>
      </c>
      <c r="I25" s="70">
        <v>1</v>
      </c>
      <c r="J25" s="70">
        <v>1</v>
      </c>
      <c r="K25" s="70">
        <v>1</v>
      </c>
      <c r="L25" s="70">
        <v>1</v>
      </c>
      <c r="M25" s="71">
        <v>1</v>
      </c>
      <c r="N25" s="70">
        <v>1</v>
      </c>
      <c r="O25" s="70">
        <v>1</v>
      </c>
      <c r="P25" s="70">
        <v>1</v>
      </c>
      <c r="Q25" s="70">
        <v>1</v>
      </c>
      <c r="R25" s="70">
        <v>1</v>
      </c>
      <c r="S25" s="71">
        <v>1</v>
      </c>
      <c r="T25" s="70">
        <v>0</v>
      </c>
      <c r="U25" s="70">
        <v>0</v>
      </c>
      <c r="V25" s="70">
        <v>0</v>
      </c>
      <c r="W25" s="70">
        <v>0</v>
      </c>
      <c r="X25" s="70">
        <v>0</v>
      </c>
      <c r="Y25" s="290">
        <v>0</v>
      </c>
      <c r="Z25" s="275"/>
      <c r="AA25" s="1"/>
    </row>
    <row r="26" spans="2:27" ht="13.15" customHeight="1" x14ac:dyDescent="0.25">
      <c r="B26" s="231" t="s">
        <v>49</v>
      </c>
      <c r="C26" s="232"/>
      <c r="D26" s="232"/>
      <c r="E26" s="232"/>
      <c r="F26" s="232"/>
      <c r="G26" s="276"/>
      <c r="H26" s="51"/>
      <c r="I26" s="51"/>
      <c r="J26" s="51"/>
      <c r="K26" s="51"/>
      <c r="L26" s="51"/>
      <c r="M26" s="51"/>
      <c r="N26" s="51"/>
      <c r="O26" s="51"/>
      <c r="P26" s="51"/>
      <c r="Q26" s="51"/>
      <c r="R26" s="51"/>
      <c r="S26" s="51"/>
      <c r="T26" s="51"/>
      <c r="U26" s="51"/>
      <c r="V26" s="51"/>
      <c r="W26" s="51"/>
      <c r="X26" s="51"/>
      <c r="Y26" s="51"/>
      <c r="Z26" s="277"/>
      <c r="AA26" s="1"/>
    </row>
    <row r="27" spans="2:27" ht="13.15" customHeight="1" x14ac:dyDescent="0.25">
      <c r="B27" s="230" t="s">
        <v>50</v>
      </c>
      <c r="C27" s="248"/>
      <c r="D27" s="248"/>
      <c r="E27" s="34"/>
      <c r="F27" s="34"/>
      <c r="G27" s="293"/>
      <c r="H27" s="44">
        <v>1</v>
      </c>
      <c r="I27" s="44">
        <v>0.95</v>
      </c>
      <c r="J27" s="44">
        <v>0.95</v>
      </c>
      <c r="K27" s="44">
        <v>0</v>
      </c>
      <c r="L27" s="44">
        <v>0</v>
      </c>
      <c r="M27" s="40">
        <v>1</v>
      </c>
      <c r="N27" s="44">
        <v>1</v>
      </c>
      <c r="O27" s="44">
        <v>0.5</v>
      </c>
      <c r="P27" s="44">
        <v>0</v>
      </c>
      <c r="Q27" s="44">
        <v>0</v>
      </c>
      <c r="R27" s="44">
        <v>0</v>
      </c>
      <c r="S27" s="40">
        <v>1</v>
      </c>
      <c r="T27" s="44">
        <v>0.8</v>
      </c>
      <c r="U27" s="44">
        <v>0</v>
      </c>
      <c r="V27" s="44">
        <v>0</v>
      </c>
      <c r="W27" s="44">
        <v>0</v>
      </c>
      <c r="X27" s="44">
        <v>0</v>
      </c>
      <c r="Y27" s="285">
        <v>0</v>
      </c>
      <c r="Z27" s="273"/>
      <c r="AA27" s="1"/>
    </row>
    <row r="28" spans="2:27" ht="13.9" customHeight="1" x14ac:dyDescent="0.25">
      <c r="B28" s="230" t="s">
        <v>51</v>
      </c>
      <c r="C28" s="248"/>
      <c r="D28" s="248"/>
      <c r="E28" s="34"/>
      <c r="F28" s="34"/>
      <c r="G28" s="293"/>
      <c r="H28" s="44">
        <v>1</v>
      </c>
      <c r="I28" s="44">
        <v>0.95</v>
      </c>
      <c r="J28" s="44">
        <v>0.95</v>
      </c>
      <c r="K28" s="44">
        <v>0</v>
      </c>
      <c r="L28" s="44">
        <v>0</v>
      </c>
      <c r="M28" s="40">
        <v>1</v>
      </c>
      <c r="N28" s="44">
        <v>1</v>
      </c>
      <c r="O28" s="44">
        <v>0.5</v>
      </c>
      <c r="P28" s="44">
        <v>0</v>
      </c>
      <c r="Q28" s="44">
        <v>0</v>
      </c>
      <c r="R28" s="44">
        <v>0</v>
      </c>
      <c r="S28" s="40">
        <v>1</v>
      </c>
      <c r="T28" s="44">
        <v>0.8</v>
      </c>
      <c r="U28" s="44">
        <v>0</v>
      </c>
      <c r="V28" s="44">
        <v>0</v>
      </c>
      <c r="W28" s="44">
        <v>0</v>
      </c>
      <c r="X28" s="44">
        <v>0</v>
      </c>
      <c r="Y28" s="285">
        <v>0</v>
      </c>
      <c r="Z28" s="273"/>
      <c r="AA28" s="1"/>
    </row>
    <row r="29" spans="2:27" ht="13.9" customHeight="1" x14ac:dyDescent="0.25">
      <c r="B29" s="230" t="s">
        <v>52</v>
      </c>
      <c r="C29" s="248"/>
      <c r="D29" s="248"/>
      <c r="E29" s="34"/>
      <c r="F29" s="34"/>
      <c r="G29" s="293"/>
      <c r="H29" s="44">
        <v>1</v>
      </c>
      <c r="I29" s="44">
        <v>0.95</v>
      </c>
      <c r="J29" s="44">
        <v>0</v>
      </c>
      <c r="K29" s="44">
        <v>0</v>
      </c>
      <c r="L29" s="44">
        <v>0</v>
      </c>
      <c r="M29" s="40">
        <v>1</v>
      </c>
      <c r="N29" s="44">
        <v>1</v>
      </c>
      <c r="O29" s="44">
        <v>0</v>
      </c>
      <c r="P29" s="44">
        <v>0</v>
      </c>
      <c r="Q29" s="44">
        <v>0</v>
      </c>
      <c r="R29" s="44">
        <v>0</v>
      </c>
      <c r="S29" s="40">
        <v>1</v>
      </c>
      <c r="T29" s="44">
        <v>0.15</v>
      </c>
      <c r="U29" s="44">
        <v>0</v>
      </c>
      <c r="V29" s="44">
        <v>0</v>
      </c>
      <c r="W29" s="44">
        <v>0</v>
      </c>
      <c r="X29" s="44">
        <v>0</v>
      </c>
      <c r="Y29" s="285">
        <v>0</v>
      </c>
      <c r="Z29" s="273"/>
      <c r="AA29" s="1"/>
    </row>
    <row r="30" spans="2:27" ht="28.9" customHeight="1" x14ac:dyDescent="0.25">
      <c r="B30" s="230" t="s">
        <v>53</v>
      </c>
      <c r="C30" s="248"/>
      <c r="D30" s="248"/>
      <c r="E30" s="34"/>
      <c r="F30" s="34"/>
      <c r="G30" s="293"/>
      <c r="H30" s="44">
        <v>1</v>
      </c>
      <c r="I30" s="44">
        <v>1</v>
      </c>
      <c r="J30" s="44">
        <v>1</v>
      </c>
      <c r="K30" s="44">
        <v>1</v>
      </c>
      <c r="L30" s="44">
        <v>1</v>
      </c>
      <c r="M30" s="40">
        <v>0</v>
      </c>
      <c r="N30" s="44">
        <v>1</v>
      </c>
      <c r="O30" s="44">
        <v>1</v>
      </c>
      <c r="P30" s="44">
        <v>1</v>
      </c>
      <c r="Q30" s="44">
        <v>1</v>
      </c>
      <c r="R30" s="44">
        <v>1</v>
      </c>
      <c r="S30" s="40">
        <v>0</v>
      </c>
      <c r="T30" s="44">
        <v>1</v>
      </c>
      <c r="U30" s="44">
        <v>1</v>
      </c>
      <c r="V30" s="44">
        <v>1</v>
      </c>
      <c r="W30" s="44">
        <v>1</v>
      </c>
      <c r="X30" s="44">
        <v>1</v>
      </c>
      <c r="Y30" s="40">
        <v>0</v>
      </c>
      <c r="Z30" s="273"/>
      <c r="AA30" s="1"/>
    </row>
    <row r="31" spans="2:27" ht="13.9" customHeight="1" thickBot="1" x14ac:dyDescent="0.3">
      <c r="B31" s="278" t="s">
        <v>54</v>
      </c>
      <c r="C31" s="257"/>
      <c r="D31" s="257"/>
      <c r="E31" s="34"/>
      <c r="F31" s="34"/>
      <c r="G31" s="294"/>
      <c r="H31" s="187">
        <v>0</v>
      </c>
      <c r="I31" s="187">
        <v>0</v>
      </c>
      <c r="J31" s="187">
        <v>0</v>
      </c>
      <c r="K31" s="187">
        <v>0</v>
      </c>
      <c r="L31" s="187">
        <v>0</v>
      </c>
      <c r="M31" s="71">
        <v>0</v>
      </c>
      <c r="N31" s="187">
        <v>0</v>
      </c>
      <c r="O31" s="187">
        <v>0</v>
      </c>
      <c r="P31" s="187">
        <v>0</v>
      </c>
      <c r="Q31" s="187">
        <v>0</v>
      </c>
      <c r="R31" s="187">
        <v>0</v>
      </c>
      <c r="S31" s="71">
        <v>0</v>
      </c>
      <c r="T31" s="187">
        <v>0</v>
      </c>
      <c r="U31" s="187">
        <v>0</v>
      </c>
      <c r="V31" s="187">
        <v>0</v>
      </c>
      <c r="W31" s="187">
        <v>0</v>
      </c>
      <c r="X31" s="187">
        <v>0</v>
      </c>
      <c r="Y31" s="71">
        <v>0</v>
      </c>
      <c r="Z31" s="275"/>
      <c r="AA31" s="1"/>
    </row>
    <row r="32" spans="2:27" ht="13.9" customHeight="1" x14ac:dyDescent="0.25">
      <c r="B32" s="231" t="s">
        <v>55</v>
      </c>
      <c r="C32" s="232"/>
      <c r="D32" s="232"/>
      <c r="E32" s="50"/>
      <c r="F32" s="50"/>
      <c r="G32" s="276"/>
      <c r="H32" s="51"/>
      <c r="I32" s="51"/>
      <c r="J32" s="51"/>
      <c r="K32" s="51"/>
      <c r="L32" s="51"/>
      <c r="M32" s="51"/>
      <c r="N32" s="51"/>
      <c r="O32" s="51"/>
      <c r="P32" s="51"/>
      <c r="Q32" s="51"/>
      <c r="R32" s="51"/>
      <c r="S32" s="51"/>
      <c r="T32" s="51"/>
      <c r="U32" s="51"/>
      <c r="V32" s="51"/>
      <c r="W32" s="51"/>
      <c r="X32" s="51"/>
      <c r="Y32" s="51"/>
      <c r="Z32" s="277"/>
      <c r="AA32" s="1"/>
    </row>
    <row r="33" spans="1:27" ht="13.9" customHeight="1" x14ac:dyDescent="0.25">
      <c r="B33" s="230" t="s">
        <v>56</v>
      </c>
      <c r="C33" s="248"/>
      <c r="D33" s="248"/>
      <c r="E33" s="34"/>
      <c r="F33" s="34"/>
      <c r="G33" s="293"/>
      <c r="H33" s="47">
        <v>1</v>
      </c>
      <c r="I33" s="47">
        <v>0.75</v>
      </c>
      <c r="J33" s="47">
        <v>0.55000000000000004</v>
      </c>
      <c r="K33" s="47">
        <v>0.45</v>
      </c>
      <c r="L33" s="47">
        <v>0.4</v>
      </c>
      <c r="M33" s="40">
        <v>1</v>
      </c>
      <c r="N33" s="47">
        <v>1</v>
      </c>
      <c r="O33" s="47">
        <v>0.75</v>
      </c>
      <c r="P33" s="47">
        <v>0.55000000000000004</v>
      </c>
      <c r="Q33" s="47">
        <v>0.45</v>
      </c>
      <c r="R33" s="47">
        <v>0.4</v>
      </c>
      <c r="S33" s="40">
        <v>1</v>
      </c>
      <c r="T33" s="47">
        <v>0</v>
      </c>
      <c r="U33" s="47">
        <v>0</v>
      </c>
      <c r="V33" s="47">
        <v>0</v>
      </c>
      <c r="W33" s="47">
        <v>0</v>
      </c>
      <c r="X33" s="47">
        <v>0</v>
      </c>
      <c r="Y33" s="40">
        <v>0</v>
      </c>
      <c r="Z33" s="273"/>
      <c r="AA33" s="1"/>
    </row>
    <row r="34" spans="1:27" ht="13.9" customHeight="1" x14ac:dyDescent="0.25">
      <c r="B34" s="230" t="s">
        <v>57</v>
      </c>
      <c r="C34" s="248"/>
      <c r="D34" s="248"/>
      <c r="E34" s="34"/>
      <c r="F34" s="34"/>
      <c r="G34" s="293"/>
      <c r="H34" s="47">
        <v>0</v>
      </c>
      <c r="I34" s="47">
        <v>0</v>
      </c>
      <c r="J34" s="47">
        <v>0</v>
      </c>
      <c r="K34" s="47">
        <v>0</v>
      </c>
      <c r="L34" s="47">
        <v>0</v>
      </c>
      <c r="M34" s="40">
        <v>0</v>
      </c>
      <c r="N34" s="47">
        <v>0</v>
      </c>
      <c r="O34" s="47">
        <v>0</v>
      </c>
      <c r="P34" s="47">
        <v>0</v>
      </c>
      <c r="Q34" s="47">
        <v>0</v>
      </c>
      <c r="R34" s="47">
        <v>0</v>
      </c>
      <c r="S34" s="40">
        <v>0</v>
      </c>
      <c r="T34" s="47">
        <v>1</v>
      </c>
      <c r="U34" s="47">
        <v>0.75</v>
      </c>
      <c r="V34" s="47">
        <v>0.6</v>
      </c>
      <c r="W34" s="47">
        <v>0.55000000000000004</v>
      </c>
      <c r="X34" s="47">
        <v>0.5</v>
      </c>
      <c r="Y34" s="40">
        <v>1</v>
      </c>
      <c r="Z34" s="273"/>
      <c r="AA34" s="1"/>
    </row>
    <row r="35" spans="1:27" s="24" customFormat="1" x14ac:dyDescent="0.25">
      <c r="B35" s="230" t="s">
        <v>58</v>
      </c>
      <c r="C35" s="248"/>
      <c r="D35" s="248"/>
      <c r="E35" s="34"/>
      <c r="F35" s="34"/>
      <c r="G35" s="293"/>
      <c r="H35" s="47">
        <v>0</v>
      </c>
      <c r="I35" s="47">
        <v>0</v>
      </c>
      <c r="J35" s="47">
        <v>0</v>
      </c>
      <c r="K35" s="47">
        <v>0</v>
      </c>
      <c r="L35" s="47">
        <v>0</v>
      </c>
      <c r="M35" s="40">
        <v>0</v>
      </c>
      <c r="N35" s="47">
        <v>0.5</v>
      </c>
      <c r="O35" s="47">
        <v>0.5</v>
      </c>
      <c r="P35" s="47">
        <v>0.5</v>
      </c>
      <c r="Q35" s="47">
        <v>0.5</v>
      </c>
      <c r="R35" s="47">
        <v>0.5</v>
      </c>
      <c r="S35" s="40">
        <v>0</v>
      </c>
      <c r="T35" s="47">
        <v>1</v>
      </c>
      <c r="U35" s="47">
        <v>1</v>
      </c>
      <c r="V35" s="47">
        <v>1</v>
      </c>
      <c r="W35" s="47">
        <v>1</v>
      </c>
      <c r="X35" s="47">
        <v>1</v>
      </c>
      <c r="Y35" s="40">
        <v>1</v>
      </c>
      <c r="Z35" s="205"/>
    </row>
    <row r="36" spans="1:27" ht="13.9" customHeight="1" x14ac:dyDescent="0.25">
      <c r="B36" s="213" t="s">
        <v>59</v>
      </c>
      <c r="C36" s="248"/>
      <c r="D36" s="248"/>
      <c r="E36" s="34"/>
      <c r="F36" s="34"/>
      <c r="G36" s="293"/>
      <c r="H36" s="44">
        <v>1</v>
      </c>
      <c r="I36" s="44">
        <v>1</v>
      </c>
      <c r="J36" s="44">
        <v>1</v>
      </c>
      <c r="K36" s="44">
        <v>0.63</v>
      </c>
      <c r="L36" s="44">
        <v>0.63</v>
      </c>
      <c r="M36" s="40">
        <v>1</v>
      </c>
      <c r="N36" s="44">
        <v>1</v>
      </c>
      <c r="O36" s="44">
        <v>0.8</v>
      </c>
      <c r="P36" s="44">
        <v>0.7</v>
      </c>
      <c r="Q36" s="44">
        <v>0</v>
      </c>
      <c r="R36" s="44">
        <v>0</v>
      </c>
      <c r="S36" s="40">
        <v>1</v>
      </c>
      <c r="T36" s="44">
        <v>0</v>
      </c>
      <c r="U36" s="44">
        <v>0</v>
      </c>
      <c r="V36" s="44">
        <v>0</v>
      </c>
      <c r="W36" s="44">
        <v>0</v>
      </c>
      <c r="X36" s="44">
        <v>0</v>
      </c>
      <c r="Y36" s="40">
        <v>0</v>
      </c>
      <c r="Z36" s="273"/>
      <c r="AA36" s="1"/>
    </row>
    <row r="37" spans="1:27" ht="13.9" customHeight="1" x14ac:dyDescent="0.25">
      <c r="B37" s="213" t="s">
        <v>60</v>
      </c>
      <c r="C37" s="248"/>
      <c r="D37" s="248"/>
      <c r="E37" s="34"/>
      <c r="F37" s="34"/>
      <c r="G37" s="293"/>
      <c r="H37" s="44">
        <v>1</v>
      </c>
      <c r="I37" s="44">
        <v>1</v>
      </c>
      <c r="J37" s="44">
        <v>1</v>
      </c>
      <c r="K37" s="44">
        <v>0.63</v>
      </c>
      <c r="L37" s="44">
        <v>0.63</v>
      </c>
      <c r="M37" s="40">
        <v>1</v>
      </c>
      <c r="N37" s="44">
        <v>1</v>
      </c>
      <c r="O37" s="44">
        <v>1</v>
      </c>
      <c r="P37" s="44">
        <v>1</v>
      </c>
      <c r="Q37" s="44">
        <v>0</v>
      </c>
      <c r="R37" s="44">
        <v>0</v>
      </c>
      <c r="S37" s="40">
        <v>1</v>
      </c>
      <c r="T37" s="44">
        <v>0</v>
      </c>
      <c r="U37" s="44">
        <v>0</v>
      </c>
      <c r="V37" s="44">
        <v>0</v>
      </c>
      <c r="W37" s="44">
        <v>0</v>
      </c>
      <c r="X37" s="44">
        <v>0</v>
      </c>
      <c r="Y37" s="40">
        <v>0</v>
      </c>
      <c r="Z37" s="273"/>
      <c r="AA37" s="1"/>
    </row>
    <row r="38" spans="1:27" ht="13.9" customHeight="1" x14ac:dyDescent="0.25">
      <c r="B38" s="213" t="s">
        <v>61</v>
      </c>
      <c r="C38" s="248"/>
      <c r="D38" s="248"/>
      <c r="E38" s="34"/>
      <c r="F38" s="34"/>
      <c r="G38" s="293"/>
      <c r="H38" s="44">
        <v>1</v>
      </c>
      <c r="I38" s="44">
        <v>1</v>
      </c>
      <c r="J38" s="44">
        <v>0.63</v>
      </c>
      <c r="K38" s="44">
        <v>0.63</v>
      </c>
      <c r="L38" s="44">
        <v>0.63</v>
      </c>
      <c r="M38" s="40">
        <v>1</v>
      </c>
      <c r="N38" s="44">
        <v>1</v>
      </c>
      <c r="O38" s="44">
        <v>1</v>
      </c>
      <c r="P38" s="44">
        <v>0</v>
      </c>
      <c r="Q38" s="44">
        <v>0</v>
      </c>
      <c r="R38" s="44">
        <v>0</v>
      </c>
      <c r="S38" s="40">
        <v>1</v>
      </c>
      <c r="T38" s="47">
        <v>0</v>
      </c>
      <c r="U38" s="47">
        <v>0</v>
      </c>
      <c r="V38" s="47">
        <v>0</v>
      </c>
      <c r="W38" s="47">
        <v>0</v>
      </c>
      <c r="X38" s="47">
        <v>0</v>
      </c>
      <c r="Y38" s="40">
        <v>0</v>
      </c>
      <c r="Z38" s="273"/>
      <c r="AA38" s="1"/>
    </row>
    <row r="39" spans="1:27" s="24" customFormat="1" ht="13.9" customHeight="1" x14ac:dyDescent="0.25">
      <c r="B39" s="230" t="s">
        <v>62</v>
      </c>
      <c r="C39" s="248"/>
      <c r="D39" s="248"/>
      <c r="E39" s="34"/>
      <c r="F39" s="34"/>
      <c r="G39" s="293"/>
      <c r="H39" s="55">
        <v>0.8</v>
      </c>
      <c r="I39" s="55">
        <v>0.8</v>
      </c>
      <c r="J39" s="55">
        <v>0.8</v>
      </c>
      <c r="K39" s="55">
        <v>0.5</v>
      </c>
      <c r="L39" s="55">
        <v>0.5</v>
      </c>
      <c r="M39" s="40">
        <v>0.8</v>
      </c>
      <c r="N39" s="55">
        <v>0.8</v>
      </c>
      <c r="O39" s="55">
        <v>0.4</v>
      </c>
      <c r="P39" s="55">
        <v>0</v>
      </c>
      <c r="Q39" s="55">
        <v>0</v>
      </c>
      <c r="R39" s="55">
        <v>0</v>
      </c>
      <c r="S39" s="40">
        <v>0.8</v>
      </c>
      <c r="T39" s="47">
        <v>0</v>
      </c>
      <c r="U39" s="47">
        <v>0</v>
      </c>
      <c r="V39" s="47">
        <v>0</v>
      </c>
      <c r="W39" s="47">
        <v>0</v>
      </c>
      <c r="X39" s="47">
        <v>0</v>
      </c>
      <c r="Y39" s="40">
        <v>0</v>
      </c>
      <c r="Z39" s="205"/>
    </row>
    <row r="40" spans="1:27" s="24" customFormat="1" ht="13.9" customHeight="1" x14ac:dyDescent="0.25">
      <c r="B40" s="230" t="s">
        <v>63</v>
      </c>
      <c r="C40" s="248"/>
      <c r="D40" s="248"/>
      <c r="E40" s="34"/>
      <c r="F40" s="34"/>
      <c r="G40" s="293"/>
      <c r="H40" s="55">
        <v>0.3</v>
      </c>
      <c r="I40" s="55">
        <v>0.3</v>
      </c>
      <c r="J40" s="55">
        <v>0.5</v>
      </c>
      <c r="K40" s="55">
        <v>0.5</v>
      </c>
      <c r="L40" s="55">
        <v>0.5</v>
      </c>
      <c r="M40" s="40">
        <v>1</v>
      </c>
      <c r="N40" s="55">
        <v>0.3</v>
      </c>
      <c r="O40" s="55">
        <v>0.5</v>
      </c>
      <c r="P40" s="55">
        <v>0.6</v>
      </c>
      <c r="Q40" s="55">
        <v>0.6</v>
      </c>
      <c r="R40" s="55">
        <v>0.6</v>
      </c>
      <c r="S40" s="40">
        <v>1</v>
      </c>
      <c r="T40" s="55">
        <v>0.7</v>
      </c>
      <c r="U40" s="55">
        <v>0.8</v>
      </c>
      <c r="V40" s="55">
        <v>1</v>
      </c>
      <c r="W40" s="55">
        <v>1</v>
      </c>
      <c r="X40" s="55">
        <v>1</v>
      </c>
      <c r="Y40" s="40">
        <v>1</v>
      </c>
      <c r="Z40" s="284"/>
    </row>
    <row r="41" spans="1:27" ht="13.9" customHeight="1" thickBot="1" x14ac:dyDescent="0.3">
      <c r="B41" s="278" t="s">
        <v>64</v>
      </c>
      <c r="C41" s="257"/>
      <c r="D41" s="258"/>
      <c r="E41" s="34"/>
      <c r="F41" s="34"/>
      <c r="G41" s="294"/>
      <c r="H41" s="187">
        <v>1</v>
      </c>
      <c r="I41" s="187">
        <v>1</v>
      </c>
      <c r="J41" s="187">
        <v>1</v>
      </c>
      <c r="K41" s="187">
        <v>1</v>
      </c>
      <c r="L41" s="187">
        <v>1</v>
      </c>
      <c r="M41" s="71">
        <v>1</v>
      </c>
      <c r="N41" s="187">
        <v>0.3</v>
      </c>
      <c r="O41" s="187">
        <v>0.3</v>
      </c>
      <c r="P41" s="187">
        <v>0.3</v>
      </c>
      <c r="Q41" s="187">
        <v>0.3</v>
      </c>
      <c r="R41" s="187">
        <v>0.3</v>
      </c>
      <c r="S41" s="71">
        <v>1</v>
      </c>
      <c r="T41" s="187">
        <v>0.7</v>
      </c>
      <c r="U41" s="187">
        <v>0.7</v>
      </c>
      <c r="V41" s="187">
        <v>0.7</v>
      </c>
      <c r="W41" s="187">
        <v>0.7</v>
      </c>
      <c r="X41" s="187">
        <v>0.7</v>
      </c>
      <c r="Y41" s="190">
        <v>0</v>
      </c>
      <c r="Z41" s="275"/>
      <c r="AA41" s="1"/>
    </row>
    <row r="42" spans="1:27" ht="13.9" customHeight="1" x14ac:dyDescent="0.25">
      <c r="B42" s="231" t="s">
        <v>65</v>
      </c>
      <c r="C42" s="232"/>
      <c r="D42" s="232"/>
      <c r="E42" s="50"/>
      <c r="F42" s="50"/>
      <c r="G42" s="276"/>
      <c r="H42" s="51"/>
      <c r="I42" s="51"/>
      <c r="J42" s="51"/>
      <c r="K42" s="51"/>
      <c r="L42" s="51"/>
      <c r="M42" s="51"/>
      <c r="N42" s="51"/>
      <c r="O42" s="51"/>
      <c r="P42" s="51"/>
      <c r="Q42" s="51"/>
      <c r="R42" s="51"/>
      <c r="S42" s="51"/>
      <c r="T42" s="51"/>
      <c r="U42" s="51"/>
      <c r="V42" s="51"/>
      <c r="W42" s="51"/>
      <c r="X42" s="51"/>
      <c r="Y42" s="51"/>
      <c r="Z42" s="277"/>
      <c r="AA42" s="1"/>
    </row>
    <row r="43" spans="1:27" s="53" customFormat="1" ht="13.9" customHeight="1" x14ac:dyDescent="0.25">
      <c r="A43" s="1"/>
      <c r="B43" s="230" t="s">
        <v>66</v>
      </c>
      <c r="C43" s="248"/>
      <c r="D43" s="248"/>
      <c r="E43" s="34"/>
      <c r="F43" s="34"/>
      <c r="G43" s="293"/>
      <c r="H43" s="47">
        <v>1</v>
      </c>
      <c r="I43" s="47">
        <v>1</v>
      </c>
      <c r="J43" s="47">
        <v>1</v>
      </c>
      <c r="K43" s="47">
        <v>1</v>
      </c>
      <c r="L43" s="47">
        <v>1</v>
      </c>
      <c r="M43" s="40">
        <v>1</v>
      </c>
      <c r="N43" s="47">
        <v>1</v>
      </c>
      <c r="O43" s="47">
        <v>1</v>
      </c>
      <c r="P43" s="47">
        <v>1</v>
      </c>
      <c r="Q43" s="47">
        <v>1</v>
      </c>
      <c r="R43" s="47">
        <v>1</v>
      </c>
      <c r="S43" s="40">
        <v>1</v>
      </c>
      <c r="T43" s="47">
        <v>1</v>
      </c>
      <c r="U43" s="47">
        <v>1</v>
      </c>
      <c r="V43" s="47">
        <v>1</v>
      </c>
      <c r="W43" s="47">
        <v>1</v>
      </c>
      <c r="X43" s="47">
        <v>1</v>
      </c>
      <c r="Y43" s="40">
        <v>1</v>
      </c>
      <c r="Z43" s="205"/>
    </row>
    <row r="44" spans="1:27" s="24" customFormat="1" ht="13.9" customHeight="1" x14ac:dyDescent="0.25">
      <c r="A44" s="1"/>
      <c r="B44" s="230"/>
      <c r="C44" s="248"/>
      <c r="D44" s="248"/>
      <c r="E44" s="34"/>
      <c r="F44" s="34"/>
      <c r="G44" s="293"/>
      <c r="H44" s="47"/>
      <c r="I44" s="47"/>
      <c r="J44" s="47"/>
      <c r="K44" s="47"/>
      <c r="L44" s="47"/>
      <c r="M44" s="40"/>
      <c r="N44" s="47"/>
      <c r="O44" s="47"/>
      <c r="P44" s="47"/>
      <c r="Q44" s="47"/>
      <c r="R44" s="47"/>
      <c r="S44" s="40"/>
      <c r="T44" s="47"/>
      <c r="U44" s="47"/>
      <c r="V44" s="47"/>
      <c r="W44" s="47"/>
      <c r="X44" s="47"/>
      <c r="Y44" s="40"/>
      <c r="Z44" s="205"/>
    </row>
    <row r="45" spans="1:27" s="24" customFormat="1" ht="13.9" customHeight="1" x14ac:dyDescent="0.25">
      <c r="A45" s="1"/>
      <c r="B45" s="230"/>
      <c r="C45" s="248"/>
      <c r="D45" s="248"/>
      <c r="E45" s="34"/>
      <c r="F45" s="34"/>
      <c r="G45" s="293"/>
      <c r="H45" s="47"/>
      <c r="I45" s="47"/>
      <c r="J45" s="47"/>
      <c r="K45" s="47"/>
      <c r="L45" s="47"/>
      <c r="M45" s="40"/>
      <c r="N45" s="47"/>
      <c r="O45" s="47"/>
      <c r="P45" s="47"/>
      <c r="Q45" s="47"/>
      <c r="R45" s="47"/>
      <c r="S45" s="40"/>
      <c r="T45" s="47"/>
      <c r="U45" s="47"/>
      <c r="V45" s="47"/>
      <c r="W45" s="47"/>
      <c r="X45" s="47"/>
      <c r="Y45" s="40"/>
      <c r="Z45" s="205"/>
    </row>
    <row r="46" spans="1:27" s="24" customFormat="1" ht="13.9" customHeight="1" x14ac:dyDescent="0.25">
      <c r="A46" s="1"/>
      <c r="B46" s="230"/>
      <c r="C46" s="248"/>
      <c r="D46" s="248"/>
      <c r="E46" s="34"/>
      <c r="F46" s="34"/>
      <c r="G46" s="293"/>
      <c r="H46" s="47"/>
      <c r="I46" s="47"/>
      <c r="J46" s="47"/>
      <c r="K46" s="47"/>
      <c r="L46" s="47"/>
      <c r="M46" s="40"/>
      <c r="N46" s="47"/>
      <c r="O46" s="47"/>
      <c r="P46" s="47"/>
      <c r="Q46" s="47"/>
      <c r="R46" s="47"/>
      <c r="S46" s="40"/>
      <c r="T46" s="47"/>
      <c r="U46" s="47"/>
      <c r="V46" s="47"/>
      <c r="W46" s="47"/>
      <c r="X46" s="47"/>
      <c r="Y46" s="40"/>
      <c r="Z46" s="205"/>
    </row>
    <row r="47" spans="1:27" s="24" customFormat="1" ht="13.9" customHeight="1" x14ac:dyDescent="0.25">
      <c r="A47" s="1"/>
      <c r="B47" s="230"/>
      <c r="C47" s="248"/>
      <c r="D47" s="248"/>
      <c r="E47" s="34"/>
      <c r="F47" s="34"/>
      <c r="G47" s="293"/>
      <c r="H47" s="47"/>
      <c r="I47" s="47"/>
      <c r="J47" s="47"/>
      <c r="K47" s="47"/>
      <c r="L47" s="47"/>
      <c r="M47" s="40"/>
      <c r="N47" s="47"/>
      <c r="O47" s="47"/>
      <c r="P47" s="47"/>
      <c r="Q47" s="47"/>
      <c r="R47" s="47"/>
      <c r="S47" s="40"/>
      <c r="T47" s="47"/>
      <c r="U47" s="47"/>
      <c r="V47" s="47"/>
      <c r="W47" s="47"/>
      <c r="X47" s="47"/>
      <c r="Y47" s="40"/>
      <c r="Z47" s="205"/>
    </row>
    <row r="48" spans="1:27" s="24" customFormat="1" ht="13.9" customHeight="1" x14ac:dyDescent="0.25">
      <c r="A48" s="1"/>
      <c r="B48" s="230"/>
      <c r="C48" s="248"/>
      <c r="D48" s="248"/>
      <c r="E48" s="34"/>
      <c r="F48" s="34"/>
      <c r="G48" s="293"/>
      <c r="H48" s="47"/>
      <c r="I48" s="47"/>
      <c r="J48" s="47"/>
      <c r="K48" s="47"/>
      <c r="L48" s="47"/>
      <c r="M48" s="40"/>
      <c r="N48" s="47"/>
      <c r="O48" s="47"/>
      <c r="P48" s="47"/>
      <c r="Q48" s="47"/>
      <c r="R48" s="47"/>
      <c r="S48" s="40"/>
      <c r="T48" s="47"/>
      <c r="U48" s="47"/>
      <c r="V48" s="47"/>
      <c r="W48" s="47"/>
      <c r="X48" s="47"/>
      <c r="Y48" s="40"/>
      <c r="Z48" s="205"/>
    </row>
    <row r="49" spans="1:27" s="24" customFormat="1" ht="13.9" customHeight="1" x14ac:dyDescent="0.25">
      <c r="A49" s="1"/>
      <c r="B49" s="230"/>
      <c r="C49" s="248"/>
      <c r="D49" s="248"/>
      <c r="E49" s="34"/>
      <c r="F49" s="34"/>
      <c r="G49" s="293"/>
      <c r="H49" s="47"/>
      <c r="I49" s="47"/>
      <c r="J49" s="47"/>
      <c r="K49" s="47"/>
      <c r="L49" s="47"/>
      <c r="M49" s="40"/>
      <c r="N49" s="47"/>
      <c r="O49" s="47"/>
      <c r="P49" s="47"/>
      <c r="Q49" s="47"/>
      <c r="R49" s="47"/>
      <c r="S49" s="40"/>
      <c r="T49" s="47"/>
      <c r="U49" s="47"/>
      <c r="V49" s="47"/>
      <c r="W49" s="47"/>
      <c r="X49" s="47"/>
      <c r="Y49" s="40"/>
      <c r="Z49" s="205"/>
    </row>
    <row r="50" spans="1:27" s="24" customFormat="1" ht="13.9" customHeight="1" x14ac:dyDescent="0.25">
      <c r="A50" s="1"/>
      <c r="B50" s="230"/>
      <c r="C50" s="248"/>
      <c r="D50" s="248"/>
      <c r="E50" s="34"/>
      <c r="F50" s="34"/>
      <c r="G50" s="293"/>
      <c r="H50" s="47"/>
      <c r="I50" s="47"/>
      <c r="J50" s="47"/>
      <c r="K50" s="47"/>
      <c r="L50" s="47"/>
      <c r="M50" s="40"/>
      <c r="N50" s="47"/>
      <c r="O50" s="47"/>
      <c r="P50" s="47"/>
      <c r="Q50" s="47"/>
      <c r="R50" s="47"/>
      <c r="S50" s="40"/>
      <c r="T50" s="47"/>
      <c r="U50" s="47"/>
      <c r="V50" s="47"/>
      <c r="W50" s="47"/>
      <c r="X50" s="47"/>
      <c r="Y50" s="40"/>
      <c r="Z50" s="205"/>
    </row>
    <row r="51" spans="1:27" s="24" customFormat="1" ht="13.9" customHeight="1" x14ac:dyDescent="0.25">
      <c r="A51" s="1"/>
      <c r="B51" s="230"/>
      <c r="C51" s="248"/>
      <c r="D51" s="248"/>
      <c r="E51" s="34"/>
      <c r="F51" s="34"/>
      <c r="G51" s="293"/>
      <c r="H51" s="47"/>
      <c r="I51" s="47"/>
      <c r="J51" s="47"/>
      <c r="K51" s="47"/>
      <c r="L51" s="47"/>
      <c r="M51" s="40"/>
      <c r="N51" s="47"/>
      <c r="O51" s="47"/>
      <c r="P51" s="47"/>
      <c r="Q51" s="47"/>
      <c r="R51" s="47"/>
      <c r="S51" s="40"/>
      <c r="T51" s="47"/>
      <c r="U51" s="47"/>
      <c r="V51" s="47"/>
      <c r="W51" s="47"/>
      <c r="X51" s="47"/>
      <c r="Y51" s="40"/>
      <c r="Z51" s="205"/>
    </row>
    <row r="52" spans="1:27" s="24" customFormat="1" ht="13.9" customHeight="1" x14ac:dyDescent="0.25">
      <c r="A52" s="1"/>
      <c r="B52" s="230"/>
      <c r="C52" s="248"/>
      <c r="D52" s="248"/>
      <c r="E52" s="34"/>
      <c r="F52" s="34"/>
      <c r="G52" s="293"/>
      <c r="H52" s="47"/>
      <c r="I52" s="47"/>
      <c r="J52" s="47"/>
      <c r="K52" s="47"/>
      <c r="L52" s="47"/>
      <c r="M52" s="40"/>
      <c r="N52" s="47"/>
      <c r="O52" s="47"/>
      <c r="P52" s="47"/>
      <c r="Q52" s="47"/>
      <c r="R52" s="47"/>
      <c r="S52" s="40"/>
      <c r="T52" s="47"/>
      <c r="U52" s="47"/>
      <c r="V52" s="47"/>
      <c r="W52" s="47"/>
      <c r="X52" s="47"/>
      <c r="Y52" s="40"/>
      <c r="Z52" s="205"/>
    </row>
    <row r="53" spans="1:27" ht="13.9" customHeight="1" x14ac:dyDescent="0.25">
      <c r="B53" s="230" t="s">
        <v>67</v>
      </c>
      <c r="C53" s="248"/>
      <c r="D53" s="248"/>
      <c r="E53" s="34"/>
      <c r="F53" s="34"/>
      <c r="G53" s="293"/>
      <c r="H53" s="55">
        <v>0.1</v>
      </c>
      <c r="I53" s="55">
        <v>0.1</v>
      </c>
      <c r="J53" s="55">
        <v>0.1</v>
      </c>
      <c r="K53" s="55">
        <v>0.1</v>
      </c>
      <c r="L53" s="55">
        <v>0.1</v>
      </c>
      <c r="M53" s="40">
        <v>0.1</v>
      </c>
      <c r="N53" s="55">
        <v>0.1</v>
      </c>
      <c r="O53" s="55">
        <v>0.5</v>
      </c>
      <c r="P53" s="55">
        <v>0.5</v>
      </c>
      <c r="Q53" s="55">
        <v>0.5</v>
      </c>
      <c r="R53" s="55">
        <v>0.5</v>
      </c>
      <c r="S53" s="40">
        <v>0.5</v>
      </c>
      <c r="T53" s="55">
        <v>0.6</v>
      </c>
      <c r="U53" s="55">
        <v>0.6</v>
      </c>
      <c r="V53" s="55">
        <v>0.6</v>
      </c>
      <c r="W53" s="55">
        <v>0.6</v>
      </c>
      <c r="X53" s="55">
        <v>0.6</v>
      </c>
      <c r="Y53" s="40">
        <v>0.6</v>
      </c>
      <c r="Z53" s="273"/>
      <c r="AA53" s="1"/>
    </row>
    <row r="54" spans="1:27" s="24" customFormat="1" ht="13.9" customHeight="1" x14ac:dyDescent="0.25">
      <c r="B54" s="230" t="s">
        <v>67</v>
      </c>
      <c r="C54" s="248"/>
      <c r="D54" s="248"/>
      <c r="E54" s="34"/>
      <c r="F54" s="34"/>
      <c r="G54" s="293"/>
      <c r="H54" s="55">
        <v>0.6</v>
      </c>
      <c r="I54" s="55">
        <v>0.6</v>
      </c>
      <c r="J54" s="55">
        <v>0.6</v>
      </c>
      <c r="K54" s="55">
        <v>0.6</v>
      </c>
      <c r="L54" s="55">
        <v>0.6</v>
      </c>
      <c r="M54" s="40">
        <v>0.6</v>
      </c>
      <c r="N54" s="55">
        <v>0.5</v>
      </c>
      <c r="O54" s="55">
        <v>0.5</v>
      </c>
      <c r="P54" s="55">
        <v>0.5</v>
      </c>
      <c r="Q54" s="55">
        <v>0.5</v>
      </c>
      <c r="R54" s="55">
        <v>0.5</v>
      </c>
      <c r="S54" s="40">
        <v>0.5</v>
      </c>
      <c r="T54" s="55">
        <v>0.1</v>
      </c>
      <c r="U54" s="55">
        <v>0.1</v>
      </c>
      <c r="V54" s="55">
        <v>0.1</v>
      </c>
      <c r="W54" s="55">
        <v>0.1</v>
      </c>
      <c r="X54" s="55">
        <v>0.1</v>
      </c>
      <c r="Y54" s="40">
        <v>0.1</v>
      </c>
      <c r="Z54" s="205"/>
    </row>
    <row r="55" spans="1:27" ht="13.9" customHeight="1" x14ac:dyDescent="0.25">
      <c r="B55" s="230" t="s">
        <v>68</v>
      </c>
      <c r="C55" s="248"/>
      <c r="D55" s="248"/>
      <c r="E55" s="34"/>
      <c r="F55" s="34"/>
      <c r="G55" s="293"/>
      <c r="H55" s="47">
        <v>1</v>
      </c>
      <c r="I55" s="47">
        <v>1</v>
      </c>
      <c r="J55" s="47">
        <v>1</v>
      </c>
      <c r="K55" s="47">
        <v>1</v>
      </c>
      <c r="L55" s="47">
        <v>1</v>
      </c>
      <c r="M55" s="40">
        <v>1</v>
      </c>
      <c r="N55" s="47">
        <v>1</v>
      </c>
      <c r="O55" s="47">
        <v>1</v>
      </c>
      <c r="P55" s="47">
        <v>1</v>
      </c>
      <c r="Q55" s="47">
        <v>1</v>
      </c>
      <c r="R55" s="47">
        <v>1</v>
      </c>
      <c r="S55" s="40">
        <v>1</v>
      </c>
      <c r="T55" s="47">
        <v>1</v>
      </c>
      <c r="U55" s="47">
        <v>1</v>
      </c>
      <c r="V55" s="47">
        <v>1</v>
      </c>
      <c r="W55" s="47">
        <v>1</v>
      </c>
      <c r="X55" s="47">
        <v>1</v>
      </c>
      <c r="Y55" s="40">
        <v>1</v>
      </c>
      <c r="Z55" s="273"/>
      <c r="AA55" s="1"/>
    </row>
    <row r="56" spans="1:27" ht="13.9" customHeight="1" x14ac:dyDescent="0.25">
      <c r="B56" s="230" t="s">
        <v>69</v>
      </c>
      <c r="C56" s="248"/>
      <c r="D56" s="248"/>
      <c r="E56" s="34"/>
      <c r="F56" s="34"/>
      <c r="G56" s="293"/>
      <c r="H56" s="55">
        <v>0.5</v>
      </c>
      <c r="I56" s="55">
        <v>0.5</v>
      </c>
      <c r="J56" s="55">
        <v>0.5</v>
      </c>
      <c r="K56" s="55">
        <v>0.5</v>
      </c>
      <c r="L56" s="55">
        <v>0.5</v>
      </c>
      <c r="M56" s="40">
        <v>1</v>
      </c>
      <c r="N56" s="55">
        <v>0.5</v>
      </c>
      <c r="O56" s="55">
        <v>0.5</v>
      </c>
      <c r="P56" s="55">
        <v>0.5</v>
      </c>
      <c r="Q56" s="55">
        <v>0.5</v>
      </c>
      <c r="R56" s="55">
        <v>0.5</v>
      </c>
      <c r="S56" s="40">
        <v>1</v>
      </c>
      <c r="T56" s="55">
        <v>0.5</v>
      </c>
      <c r="U56" s="55">
        <v>0.5</v>
      </c>
      <c r="V56" s="55">
        <v>0.5</v>
      </c>
      <c r="W56" s="55">
        <v>0.5</v>
      </c>
      <c r="X56" s="55">
        <v>0.5</v>
      </c>
      <c r="Y56" s="40">
        <v>1</v>
      </c>
      <c r="Z56" s="273"/>
      <c r="AA56" s="1"/>
    </row>
    <row r="57" spans="1:27" ht="13.9" customHeight="1" x14ac:dyDescent="0.25">
      <c r="B57" s="230" t="s">
        <v>70</v>
      </c>
      <c r="C57" s="248"/>
      <c r="D57" s="248"/>
      <c r="E57" s="34"/>
      <c r="F57" s="34"/>
      <c r="G57" s="293"/>
      <c r="H57" s="47">
        <v>0.8</v>
      </c>
      <c r="I57" s="47">
        <v>0.8</v>
      </c>
      <c r="J57" s="47">
        <v>0.8</v>
      </c>
      <c r="K57" s="47">
        <v>0.8</v>
      </c>
      <c r="L57" s="47">
        <v>0.8</v>
      </c>
      <c r="M57" s="40">
        <v>0.8</v>
      </c>
      <c r="N57" s="47">
        <v>0.8</v>
      </c>
      <c r="O57" s="47">
        <v>0.8</v>
      </c>
      <c r="P57" s="47">
        <v>0.8</v>
      </c>
      <c r="Q57" s="47">
        <v>0.8</v>
      </c>
      <c r="R57" s="47">
        <v>0.8</v>
      </c>
      <c r="S57" s="40">
        <v>0.8</v>
      </c>
      <c r="T57" s="47">
        <v>0.8</v>
      </c>
      <c r="U57" s="47">
        <v>0.8</v>
      </c>
      <c r="V57" s="47">
        <v>0.8</v>
      </c>
      <c r="W57" s="47">
        <v>0.8</v>
      </c>
      <c r="X57" s="47">
        <v>0.8</v>
      </c>
      <c r="Y57" s="40">
        <v>0.8</v>
      </c>
      <c r="Z57" s="273"/>
      <c r="AA57" s="1"/>
    </row>
    <row r="58" spans="1:27" ht="13.9" customHeight="1" x14ac:dyDescent="0.25">
      <c r="B58" s="230" t="s">
        <v>71</v>
      </c>
      <c r="C58" s="248"/>
      <c r="D58" s="248"/>
      <c r="E58" s="34"/>
      <c r="F58" s="34"/>
      <c r="G58" s="293"/>
      <c r="H58" s="47">
        <v>0.2</v>
      </c>
      <c r="I58" s="47">
        <v>0.2</v>
      </c>
      <c r="J58" s="47">
        <v>0.2</v>
      </c>
      <c r="K58" s="47">
        <v>0.2</v>
      </c>
      <c r="L58" s="47">
        <v>0.2</v>
      </c>
      <c r="M58" s="40">
        <v>0.2</v>
      </c>
      <c r="N58" s="47">
        <v>0.2</v>
      </c>
      <c r="O58" s="47">
        <v>0.2</v>
      </c>
      <c r="P58" s="47">
        <v>0.2</v>
      </c>
      <c r="Q58" s="47">
        <v>0.2</v>
      </c>
      <c r="R58" s="47">
        <v>0.2</v>
      </c>
      <c r="S58" s="40">
        <v>0.2</v>
      </c>
      <c r="T58" s="47">
        <v>0.2</v>
      </c>
      <c r="U58" s="47">
        <v>0.2</v>
      </c>
      <c r="V58" s="47">
        <v>0.2</v>
      </c>
      <c r="W58" s="47">
        <v>0.2</v>
      </c>
      <c r="X58" s="47">
        <v>0.2</v>
      </c>
      <c r="Y58" s="40">
        <v>0.2</v>
      </c>
      <c r="Z58" s="273"/>
      <c r="AA58" s="1"/>
    </row>
    <row r="59" spans="1:27" ht="13.9" customHeight="1" x14ac:dyDescent="0.25">
      <c r="B59" s="230" t="s">
        <v>72</v>
      </c>
      <c r="C59" s="248"/>
      <c r="D59" s="248"/>
      <c r="E59" s="34"/>
      <c r="F59" s="34"/>
      <c r="G59" s="293"/>
      <c r="H59" s="55">
        <v>0.1</v>
      </c>
      <c r="I59" s="55">
        <v>0.1</v>
      </c>
      <c r="J59" s="55">
        <v>0.1</v>
      </c>
      <c r="K59" s="55">
        <v>0.1</v>
      </c>
      <c r="L59" s="55">
        <v>0.1</v>
      </c>
      <c r="M59" s="40">
        <v>0.1</v>
      </c>
      <c r="N59" s="47">
        <v>0.25</v>
      </c>
      <c r="O59" s="47">
        <v>0.25</v>
      </c>
      <c r="P59" s="47">
        <v>0.25</v>
      </c>
      <c r="Q59" s="47">
        <v>0.25</v>
      </c>
      <c r="R59" s="47">
        <v>0.25</v>
      </c>
      <c r="S59" s="40">
        <v>0.25</v>
      </c>
      <c r="T59" s="47">
        <v>0.15</v>
      </c>
      <c r="U59" s="47">
        <v>0.4</v>
      </c>
      <c r="V59" s="47">
        <v>1</v>
      </c>
      <c r="W59" s="47">
        <v>1</v>
      </c>
      <c r="X59" s="47">
        <v>0.4</v>
      </c>
      <c r="Y59" s="40">
        <f>MAX(T59:X59)</f>
        <v>1</v>
      </c>
      <c r="Z59" s="273"/>
      <c r="AA59" s="1"/>
    </row>
    <row r="60" spans="1:27" s="24" customFormat="1" ht="13.9" customHeight="1" x14ac:dyDescent="0.25">
      <c r="B60" s="213" t="s">
        <v>73</v>
      </c>
      <c r="C60" s="248"/>
      <c r="D60" s="248"/>
      <c r="E60" s="34"/>
      <c r="F60" s="34"/>
      <c r="G60" s="293"/>
      <c r="H60" s="47">
        <v>1</v>
      </c>
      <c r="I60" s="47">
        <v>1</v>
      </c>
      <c r="J60" s="47">
        <v>1</v>
      </c>
      <c r="K60" s="47">
        <v>1</v>
      </c>
      <c r="L60" s="47">
        <v>1</v>
      </c>
      <c r="M60" s="40">
        <v>1</v>
      </c>
      <c r="N60" s="47">
        <v>1</v>
      </c>
      <c r="O60" s="47">
        <v>1</v>
      </c>
      <c r="P60" s="47">
        <v>1</v>
      </c>
      <c r="Q60" s="47">
        <v>1</v>
      </c>
      <c r="R60" s="47">
        <v>1</v>
      </c>
      <c r="S60" s="40">
        <v>1</v>
      </c>
      <c r="T60" s="47">
        <v>1</v>
      </c>
      <c r="U60" s="47">
        <v>1</v>
      </c>
      <c r="V60" s="47">
        <v>1</v>
      </c>
      <c r="W60" s="47">
        <v>1</v>
      </c>
      <c r="X60" s="47">
        <v>1</v>
      </c>
      <c r="Y60" s="40">
        <v>1</v>
      </c>
      <c r="Z60" s="205"/>
    </row>
    <row r="61" spans="1:27" s="24" customFormat="1" ht="13.9" customHeight="1" x14ac:dyDescent="0.25">
      <c r="B61" s="213" t="s">
        <v>74</v>
      </c>
      <c r="C61" s="248"/>
      <c r="D61" s="248"/>
      <c r="E61" s="34"/>
      <c r="F61" s="34"/>
      <c r="G61" s="293"/>
      <c r="H61" s="47">
        <v>1</v>
      </c>
      <c r="I61" s="47">
        <v>1</v>
      </c>
      <c r="J61" s="47">
        <v>1</v>
      </c>
      <c r="K61" s="47">
        <v>1</v>
      </c>
      <c r="L61" s="47">
        <v>1</v>
      </c>
      <c r="M61" s="40">
        <v>1</v>
      </c>
      <c r="N61" s="47">
        <v>1</v>
      </c>
      <c r="O61" s="47">
        <v>1</v>
      </c>
      <c r="P61" s="47">
        <v>1</v>
      </c>
      <c r="Q61" s="47">
        <v>1</v>
      </c>
      <c r="R61" s="47">
        <v>1</v>
      </c>
      <c r="S61" s="40">
        <v>1</v>
      </c>
      <c r="T61" s="47">
        <v>1</v>
      </c>
      <c r="U61" s="47">
        <v>1</v>
      </c>
      <c r="V61" s="47">
        <v>1</v>
      </c>
      <c r="W61" s="47">
        <v>1</v>
      </c>
      <c r="X61" s="47">
        <v>1</v>
      </c>
      <c r="Y61" s="40">
        <v>1</v>
      </c>
      <c r="Z61" s="205"/>
    </row>
    <row r="62" spans="1:27" s="24" customFormat="1" ht="13.9" customHeight="1" x14ac:dyDescent="0.25">
      <c r="B62" s="213" t="s">
        <v>75</v>
      </c>
      <c r="C62" s="248"/>
      <c r="D62" s="248"/>
      <c r="E62" s="34"/>
      <c r="F62" s="34"/>
      <c r="G62" s="293"/>
      <c r="H62" s="47">
        <v>0</v>
      </c>
      <c r="I62" s="47">
        <v>0</v>
      </c>
      <c r="J62" s="47">
        <v>0</v>
      </c>
      <c r="K62" s="47">
        <v>0</v>
      </c>
      <c r="L62" s="47">
        <v>0</v>
      </c>
      <c r="M62" s="40">
        <v>0</v>
      </c>
      <c r="N62" s="47">
        <v>0</v>
      </c>
      <c r="O62" s="47">
        <v>0</v>
      </c>
      <c r="P62" s="47">
        <v>0</v>
      </c>
      <c r="Q62" s="47">
        <v>0</v>
      </c>
      <c r="R62" s="47">
        <v>0</v>
      </c>
      <c r="S62" s="40">
        <v>0</v>
      </c>
      <c r="T62" s="47">
        <v>0</v>
      </c>
      <c r="U62" s="47">
        <v>0</v>
      </c>
      <c r="V62" s="47">
        <v>0</v>
      </c>
      <c r="W62" s="47">
        <v>0</v>
      </c>
      <c r="X62" s="47">
        <v>0</v>
      </c>
      <c r="Y62" s="40">
        <v>0</v>
      </c>
      <c r="Z62" s="282"/>
    </row>
    <row r="63" spans="1:27" s="24" customFormat="1" ht="13.9" customHeight="1" x14ac:dyDescent="0.25">
      <c r="B63" s="213" t="s">
        <v>76</v>
      </c>
      <c r="C63" s="248"/>
      <c r="D63" s="248"/>
      <c r="E63" s="34"/>
      <c r="F63" s="34"/>
      <c r="G63" s="293"/>
      <c r="H63" s="47">
        <v>1</v>
      </c>
      <c r="I63" s="47">
        <v>1</v>
      </c>
      <c r="J63" s="47">
        <v>1</v>
      </c>
      <c r="K63" s="47">
        <v>1</v>
      </c>
      <c r="L63" s="47">
        <v>1</v>
      </c>
      <c r="M63" s="40">
        <v>1</v>
      </c>
      <c r="N63" s="47">
        <v>1</v>
      </c>
      <c r="O63" s="47">
        <v>1</v>
      </c>
      <c r="P63" s="47">
        <v>1</v>
      </c>
      <c r="Q63" s="47">
        <v>1</v>
      </c>
      <c r="R63" s="47">
        <v>1</v>
      </c>
      <c r="S63" s="40">
        <v>1</v>
      </c>
      <c r="T63" s="47">
        <v>1</v>
      </c>
      <c r="U63" s="47">
        <v>1</v>
      </c>
      <c r="V63" s="47">
        <v>1</v>
      </c>
      <c r="W63" s="47">
        <v>1</v>
      </c>
      <c r="X63" s="47">
        <v>1</v>
      </c>
      <c r="Y63" s="40">
        <v>1</v>
      </c>
      <c r="Z63" s="205"/>
    </row>
    <row r="64" spans="1:27" s="24" customFormat="1" ht="13.9" customHeight="1" x14ac:dyDescent="0.25">
      <c r="B64" s="261" t="s">
        <v>77</v>
      </c>
      <c r="C64" s="262"/>
      <c r="D64" s="262"/>
      <c r="E64" s="250"/>
      <c r="F64" s="250"/>
      <c r="G64" s="298"/>
      <c r="H64" s="47">
        <v>1</v>
      </c>
      <c r="I64" s="47">
        <v>1</v>
      </c>
      <c r="J64" s="47">
        <v>1</v>
      </c>
      <c r="K64" s="47">
        <v>1</v>
      </c>
      <c r="L64" s="47">
        <v>1</v>
      </c>
      <c r="M64" s="40">
        <v>1</v>
      </c>
      <c r="N64" s="47">
        <v>1</v>
      </c>
      <c r="O64" s="47">
        <v>1</v>
      </c>
      <c r="P64" s="47">
        <v>1</v>
      </c>
      <c r="Q64" s="47">
        <v>1</v>
      </c>
      <c r="R64" s="47">
        <v>1</v>
      </c>
      <c r="S64" s="40">
        <v>1</v>
      </c>
      <c r="T64" s="47">
        <v>1</v>
      </c>
      <c r="U64" s="47">
        <v>1</v>
      </c>
      <c r="V64" s="47">
        <v>1</v>
      </c>
      <c r="W64" s="47">
        <v>1</v>
      </c>
      <c r="X64" s="47">
        <v>1</v>
      </c>
      <c r="Y64" s="40">
        <v>1</v>
      </c>
      <c r="Z64" s="299"/>
    </row>
    <row r="65" spans="2:27" s="24" customFormat="1" ht="13.9" customHeight="1" thickBot="1" x14ac:dyDescent="0.3">
      <c r="B65" s="228" t="s">
        <v>78</v>
      </c>
      <c r="C65" s="257"/>
      <c r="D65" s="257"/>
      <c r="E65" s="34"/>
      <c r="F65" s="34"/>
      <c r="G65" s="294"/>
      <c r="H65" s="70">
        <v>1</v>
      </c>
      <c r="I65" s="70">
        <v>1</v>
      </c>
      <c r="J65" s="70">
        <v>1</v>
      </c>
      <c r="K65" s="70">
        <v>1</v>
      </c>
      <c r="L65" s="70">
        <v>1</v>
      </c>
      <c r="M65" s="71">
        <v>1</v>
      </c>
      <c r="N65" s="70">
        <v>1</v>
      </c>
      <c r="O65" s="70">
        <v>1</v>
      </c>
      <c r="P65" s="70">
        <v>1</v>
      </c>
      <c r="Q65" s="70">
        <v>1</v>
      </c>
      <c r="R65" s="70">
        <v>1</v>
      </c>
      <c r="S65" s="71">
        <v>1</v>
      </c>
      <c r="T65" s="70">
        <v>1</v>
      </c>
      <c r="U65" s="70">
        <v>1</v>
      </c>
      <c r="V65" s="70">
        <v>1</v>
      </c>
      <c r="W65" s="70">
        <v>1</v>
      </c>
      <c r="X65" s="70">
        <v>1</v>
      </c>
      <c r="Y65" s="71">
        <v>1</v>
      </c>
      <c r="Z65" s="283"/>
    </row>
    <row r="66" spans="2:27" ht="13.9" customHeight="1" x14ac:dyDescent="0.2">
      <c r="B66" s="279" t="s">
        <v>79</v>
      </c>
      <c r="C66" s="280"/>
      <c r="D66" s="280"/>
      <c r="E66" s="341" t="s">
        <v>80</v>
      </c>
      <c r="F66" s="341"/>
      <c r="G66" s="341"/>
      <c r="H66" s="341"/>
      <c r="I66" s="341"/>
      <c r="J66" s="341"/>
      <c r="K66" s="341"/>
      <c r="L66" s="341"/>
      <c r="M66" s="341"/>
      <c r="N66" s="341"/>
      <c r="O66" s="341"/>
      <c r="P66" s="341"/>
      <c r="Q66" s="341"/>
      <c r="R66" s="341"/>
      <c r="S66" s="341"/>
      <c r="T66" s="341"/>
      <c r="U66" s="341"/>
      <c r="V66" s="341"/>
      <c r="W66" s="341"/>
      <c r="X66" s="341"/>
      <c r="Y66" s="341"/>
      <c r="Z66" s="281"/>
      <c r="AA66" s="1"/>
    </row>
    <row r="67" spans="2:27" ht="13.9" customHeight="1" x14ac:dyDescent="0.25">
      <c r="B67" s="230" t="s">
        <v>81</v>
      </c>
      <c r="C67" s="248"/>
      <c r="D67" s="248"/>
      <c r="E67" s="34"/>
      <c r="F67" s="34"/>
      <c r="G67" s="293"/>
      <c r="H67" s="55">
        <v>1</v>
      </c>
      <c r="I67" s="55">
        <v>1</v>
      </c>
      <c r="J67" s="55">
        <v>1</v>
      </c>
      <c r="K67" s="55">
        <v>1</v>
      </c>
      <c r="L67" s="55">
        <v>1</v>
      </c>
      <c r="M67" s="57">
        <v>0</v>
      </c>
      <c r="N67" s="55">
        <v>0</v>
      </c>
      <c r="O67" s="55">
        <v>0</v>
      </c>
      <c r="P67" s="55">
        <v>0</v>
      </c>
      <c r="Q67" s="55">
        <v>0</v>
      </c>
      <c r="R67" s="55">
        <v>0</v>
      </c>
      <c r="S67" s="57">
        <v>0</v>
      </c>
      <c r="T67" s="55">
        <v>0</v>
      </c>
      <c r="U67" s="55">
        <v>0</v>
      </c>
      <c r="V67" s="55">
        <v>0</v>
      </c>
      <c r="W67" s="55">
        <v>0</v>
      </c>
      <c r="X67" s="55">
        <v>0</v>
      </c>
      <c r="Y67" s="57">
        <v>0</v>
      </c>
      <c r="Z67" s="273"/>
      <c r="AA67" s="1"/>
    </row>
    <row r="68" spans="2:27" ht="13.9" customHeight="1" x14ac:dyDescent="0.25">
      <c r="B68" s="230" t="s">
        <v>82</v>
      </c>
      <c r="C68" s="248"/>
      <c r="D68" s="248"/>
      <c r="E68" s="34"/>
      <c r="F68" s="34"/>
      <c r="G68" s="293"/>
      <c r="H68" s="55">
        <v>0</v>
      </c>
      <c r="I68" s="55">
        <v>0</v>
      </c>
      <c r="J68" s="55">
        <v>0</v>
      </c>
      <c r="K68" s="55">
        <v>0</v>
      </c>
      <c r="L68" s="55">
        <v>0</v>
      </c>
      <c r="M68" s="57">
        <v>0</v>
      </c>
      <c r="N68" s="55">
        <v>0</v>
      </c>
      <c r="O68" s="55">
        <v>0</v>
      </c>
      <c r="P68" s="55">
        <v>0</v>
      </c>
      <c r="Q68" s="55">
        <v>0</v>
      </c>
      <c r="R68" s="55">
        <v>0</v>
      </c>
      <c r="S68" s="57">
        <v>0</v>
      </c>
      <c r="T68" s="55">
        <v>0</v>
      </c>
      <c r="U68" s="55">
        <v>0</v>
      </c>
      <c r="V68" s="55">
        <v>0</v>
      </c>
      <c r="W68" s="55">
        <v>0</v>
      </c>
      <c r="X68" s="55">
        <v>0</v>
      </c>
      <c r="Y68" s="57">
        <v>0</v>
      </c>
      <c r="Z68" s="273"/>
      <c r="AA68" s="1"/>
    </row>
    <row r="69" spans="2:27" ht="13.9" customHeight="1" x14ac:dyDescent="0.25">
      <c r="B69" s="230" t="s">
        <v>83</v>
      </c>
      <c r="C69" s="248"/>
      <c r="D69" s="248"/>
      <c r="E69" s="34"/>
      <c r="F69" s="34"/>
      <c r="G69" s="293"/>
      <c r="H69" s="55">
        <v>0</v>
      </c>
      <c r="I69" s="55">
        <v>0</v>
      </c>
      <c r="J69" s="55">
        <v>0</v>
      </c>
      <c r="K69" s="55">
        <v>0</v>
      </c>
      <c r="L69" s="55">
        <v>0</v>
      </c>
      <c r="M69" s="57">
        <v>0</v>
      </c>
      <c r="N69" s="55">
        <v>0</v>
      </c>
      <c r="O69" s="55">
        <v>0</v>
      </c>
      <c r="P69" s="55">
        <v>0</v>
      </c>
      <c r="Q69" s="55">
        <v>0</v>
      </c>
      <c r="R69" s="55">
        <v>0</v>
      </c>
      <c r="S69" s="57">
        <v>0</v>
      </c>
      <c r="T69" s="55">
        <v>1</v>
      </c>
      <c r="U69" s="55">
        <v>0</v>
      </c>
      <c r="V69" s="55">
        <v>0</v>
      </c>
      <c r="W69" s="55">
        <v>0</v>
      </c>
      <c r="X69" s="55">
        <v>1</v>
      </c>
      <c r="Y69" s="57">
        <v>0</v>
      </c>
      <c r="Z69" s="273"/>
      <c r="AA69" s="1"/>
    </row>
    <row r="70" spans="2:27" ht="13.9" customHeight="1" x14ac:dyDescent="0.25">
      <c r="B70" s="230" t="s">
        <v>84</v>
      </c>
      <c r="C70" s="248"/>
      <c r="D70" s="248"/>
      <c r="E70" s="34"/>
      <c r="F70" s="34"/>
      <c r="G70" s="293"/>
      <c r="H70" s="55">
        <v>0</v>
      </c>
      <c r="I70" s="55">
        <v>0</v>
      </c>
      <c r="J70" s="55">
        <v>0</v>
      </c>
      <c r="K70" s="55">
        <v>0</v>
      </c>
      <c r="L70" s="55">
        <v>0</v>
      </c>
      <c r="M70" s="57">
        <v>0</v>
      </c>
      <c r="N70" s="55">
        <v>0</v>
      </c>
      <c r="O70" s="55">
        <v>0</v>
      </c>
      <c r="P70" s="55">
        <v>0</v>
      </c>
      <c r="Q70" s="55">
        <v>0</v>
      </c>
      <c r="R70" s="55">
        <v>0</v>
      </c>
      <c r="S70" s="57">
        <v>0</v>
      </c>
      <c r="T70" s="55">
        <v>0</v>
      </c>
      <c r="U70" s="55">
        <v>1</v>
      </c>
      <c r="V70" s="55">
        <v>0</v>
      </c>
      <c r="W70" s="55">
        <v>0</v>
      </c>
      <c r="X70" s="55">
        <v>0</v>
      </c>
      <c r="Y70" s="57">
        <v>0</v>
      </c>
      <c r="Z70" s="273"/>
      <c r="AA70" s="1"/>
    </row>
    <row r="71" spans="2:27" ht="13.9" customHeight="1" thickBot="1" x14ac:dyDescent="0.3">
      <c r="B71" s="278" t="s">
        <v>85</v>
      </c>
      <c r="C71" s="257"/>
      <c r="D71" s="257"/>
      <c r="E71" s="34"/>
      <c r="F71" s="34"/>
      <c r="G71" s="294"/>
      <c r="H71" s="187">
        <v>0</v>
      </c>
      <c r="I71" s="187">
        <v>0</v>
      </c>
      <c r="J71" s="187">
        <v>0</v>
      </c>
      <c r="K71" s="187">
        <v>0</v>
      </c>
      <c r="L71" s="187">
        <v>0</v>
      </c>
      <c r="M71" s="62">
        <v>0</v>
      </c>
      <c r="N71" s="187">
        <v>0</v>
      </c>
      <c r="O71" s="187">
        <v>0</v>
      </c>
      <c r="P71" s="187">
        <v>0</v>
      </c>
      <c r="Q71" s="187">
        <v>0</v>
      </c>
      <c r="R71" s="187">
        <v>0</v>
      </c>
      <c r="S71" s="62">
        <v>0</v>
      </c>
      <c r="T71" s="70">
        <v>0</v>
      </c>
      <c r="U71" s="70">
        <v>0</v>
      </c>
      <c r="V71" s="70">
        <v>1</v>
      </c>
      <c r="W71" s="70">
        <v>1</v>
      </c>
      <c r="X71" s="70">
        <v>0</v>
      </c>
      <c r="Y71" s="71">
        <v>1</v>
      </c>
      <c r="Z71" s="275"/>
      <c r="AA71" s="1"/>
    </row>
    <row r="72" spans="2:27" ht="13.9" customHeight="1" x14ac:dyDescent="0.25">
      <c r="B72" s="231" t="s">
        <v>86</v>
      </c>
      <c r="C72" s="232"/>
      <c r="D72" s="232"/>
      <c r="E72" s="50"/>
      <c r="F72" s="50"/>
      <c r="G72" s="276"/>
      <c r="H72" s="51"/>
      <c r="I72" s="51"/>
      <c r="J72" s="51"/>
      <c r="K72" s="51"/>
      <c r="L72" s="51"/>
      <c r="M72" s="51"/>
      <c r="N72" s="51"/>
      <c r="O72" s="51"/>
      <c r="P72" s="51"/>
      <c r="Q72" s="51"/>
      <c r="R72" s="51"/>
      <c r="S72" s="51"/>
      <c r="T72" s="51"/>
      <c r="U72" s="51"/>
      <c r="V72" s="51"/>
      <c r="W72" s="51"/>
      <c r="X72" s="51"/>
      <c r="Y72" s="51"/>
      <c r="Z72" s="277"/>
      <c r="AA72" s="1"/>
    </row>
    <row r="73" spans="2:27" ht="13.9" customHeight="1" x14ac:dyDescent="0.25">
      <c r="B73" s="230" t="s">
        <v>87</v>
      </c>
      <c r="C73" s="248"/>
      <c r="D73" s="248"/>
      <c r="E73" s="34"/>
      <c r="F73" s="34"/>
      <c r="G73" s="293"/>
      <c r="H73" s="47">
        <v>1</v>
      </c>
      <c r="I73" s="47">
        <v>1</v>
      </c>
      <c r="J73" s="47">
        <v>1</v>
      </c>
      <c r="K73" s="47">
        <v>1</v>
      </c>
      <c r="L73" s="47">
        <v>1</v>
      </c>
      <c r="M73" s="40">
        <v>1</v>
      </c>
      <c r="N73" s="47">
        <v>1</v>
      </c>
      <c r="O73" s="47">
        <v>1</v>
      </c>
      <c r="P73" s="47">
        <v>1</v>
      </c>
      <c r="Q73" s="47">
        <v>1</v>
      </c>
      <c r="R73" s="47">
        <v>1</v>
      </c>
      <c r="S73" s="40">
        <v>1</v>
      </c>
      <c r="T73" s="47">
        <v>1</v>
      </c>
      <c r="U73" s="47">
        <v>1</v>
      </c>
      <c r="V73" s="47">
        <v>1</v>
      </c>
      <c r="W73" s="47">
        <v>1</v>
      </c>
      <c r="X73" s="47">
        <v>1</v>
      </c>
      <c r="Y73" s="40">
        <v>1</v>
      </c>
      <c r="Z73" s="205"/>
      <c r="AA73" s="1"/>
    </row>
    <row r="74" spans="2:27" ht="13.9" customHeight="1" x14ac:dyDescent="0.25">
      <c r="B74" s="230" t="s">
        <v>88</v>
      </c>
      <c r="C74" s="248"/>
      <c r="D74" s="248"/>
      <c r="E74" s="34"/>
      <c r="F74" s="34"/>
      <c r="G74" s="293"/>
      <c r="H74" s="47">
        <v>1</v>
      </c>
      <c r="I74" s="47">
        <v>1</v>
      </c>
      <c r="J74" s="47">
        <v>1</v>
      </c>
      <c r="K74" s="47">
        <v>1</v>
      </c>
      <c r="L74" s="47">
        <v>1</v>
      </c>
      <c r="M74" s="40">
        <v>1</v>
      </c>
      <c r="N74" s="47">
        <v>1</v>
      </c>
      <c r="O74" s="47">
        <v>1</v>
      </c>
      <c r="P74" s="47">
        <v>1</v>
      </c>
      <c r="Q74" s="47">
        <v>1</v>
      </c>
      <c r="R74" s="47">
        <v>1</v>
      </c>
      <c r="S74" s="40">
        <v>1</v>
      </c>
      <c r="T74" s="47">
        <v>1</v>
      </c>
      <c r="U74" s="47">
        <v>1</v>
      </c>
      <c r="V74" s="47">
        <v>1</v>
      </c>
      <c r="W74" s="47">
        <v>1</v>
      </c>
      <c r="X74" s="47">
        <v>1</v>
      </c>
      <c r="Y74" s="40">
        <v>1</v>
      </c>
      <c r="Z74" s="205"/>
      <c r="AA74" s="1"/>
    </row>
    <row r="75" spans="2:27" ht="13.9" customHeight="1" x14ac:dyDescent="0.25">
      <c r="B75" s="230" t="s">
        <v>89</v>
      </c>
      <c r="C75" s="248"/>
      <c r="D75" s="248"/>
      <c r="E75" s="34"/>
      <c r="F75" s="34"/>
      <c r="G75" s="293"/>
      <c r="H75" s="47">
        <v>1</v>
      </c>
      <c r="I75" s="47">
        <v>1</v>
      </c>
      <c r="J75" s="47">
        <v>1</v>
      </c>
      <c r="K75" s="47">
        <v>1</v>
      </c>
      <c r="L75" s="47">
        <v>1</v>
      </c>
      <c r="M75" s="40">
        <v>1</v>
      </c>
      <c r="N75" s="47">
        <v>1</v>
      </c>
      <c r="O75" s="47">
        <v>1</v>
      </c>
      <c r="P75" s="47">
        <v>1</v>
      </c>
      <c r="Q75" s="47">
        <v>1</v>
      </c>
      <c r="R75" s="47">
        <v>1</v>
      </c>
      <c r="S75" s="40">
        <v>1</v>
      </c>
      <c r="T75" s="47">
        <v>1</v>
      </c>
      <c r="U75" s="47">
        <v>1</v>
      </c>
      <c r="V75" s="47">
        <v>1</v>
      </c>
      <c r="W75" s="47">
        <v>1</v>
      </c>
      <c r="X75" s="47">
        <v>1</v>
      </c>
      <c r="Y75" s="40">
        <v>1</v>
      </c>
      <c r="Z75" s="273"/>
      <c r="AA75" s="1"/>
    </row>
    <row r="76" spans="2:27" ht="13.9" customHeight="1" x14ac:dyDescent="0.25">
      <c r="B76" s="230" t="s">
        <v>90</v>
      </c>
      <c r="D76" s="248"/>
      <c r="E76" s="34"/>
      <c r="F76" s="34"/>
      <c r="G76" s="293"/>
      <c r="H76" s="47">
        <v>1</v>
      </c>
      <c r="I76" s="47">
        <v>1</v>
      </c>
      <c r="J76" s="47">
        <v>1</v>
      </c>
      <c r="K76" s="47">
        <v>1</v>
      </c>
      <c r="L76" s="47">
        <v>1</v>
      </c>
      <c r="M76" s="40">
        <v>1</v>
      </c>
      <c r="N76" s="47">
        <v>1</v>
      </c>
      <c r="O76" s="47">
        <v>1</v>
      </c>
      <c r="P76" s="47">
        <v>1</v>
      </c>
      <c r="Q76" s="47">
        <v>1</v>
      </c>
      <c r="R76" s="47">
        <v>1</v>
      </c>
      <c r="S76" s="40">
        <v>1</v>
      </c>
      <c r="T76" s="47">
        <v>1</v>
      </c>
      <c r="U76" s="47">
        <v>1</v>
      </c>
      <c r="V76" s="47">
        <v>1</v>
      </c>
      <c r="W76" s="47">
        <v>1</v>
      </c>
      <c r="X76" s="47">
        <v>1</v>
      </c>
      <c r="Y76" s="40">
        <v>1</v>
      </c>
      <c r="Z76" s="273"/>
      <c r="AA76" s="1"/>
    </row>
    <row r="77" spans="2:27" ht="13.9" customHeight="1" x14ac:dyDescent="0.25">
      <c r="B77" s="230" t="s">
        <v>91</v>
      </c>
      <c r="C77" s="248"/>
      <c r="D77" s="248"/>
      <c r="E77" s="34"/>
      <c r="F77" s="34"/>
      <c r="G77" s="293"/>
      <c r="H77" s="47">
        <v>1</v>
      </c>
      <c r="I77" s="47">
        <v>1</v>
      </c>
      <c r="J77" s="47">
        <v>1</v>
      </c>
      <c r="K77" s="47">
        <v>1</v>
      </c>
      <c r="L77" s="47">
        <v>1</v>
      </c>
      <c r="M77" s="40">
        <v>1</v>
      </c>
      <c r="N77" s="47">
        <v>1</v>
      </c>
      <c r="O77" s="47">
        <v>1</v>
      </c>
      <c r="P77" s="47">
        <v>1</v>
      </c>
      <c r="Q77" s="47">
        <v>1</v>
      </c>
      <c r="R77" s="47">
        <v>1</v>
      </c>
      <c r="S77" s="40">
        <v>1</v>
      </c>
      <c r="T77" s="47">
        <v>1</v>
      </c>
      <c r="U77" s="47">
        <v>1</v>
      </c>
      <c r="V77" s="47">
        <v>1</v>
      </c>
      <c r="W77" s="47">
        <v>1</v>
      </c>
      <c r="X77" s="47">
        <v>1</v>
      </c>
      <c r="Y77" s="40">
        <v>1</v>
      </c>
      <c r="Z77" s="273"/>
      <c r="AA77" s="1"/>
    </row>
    <row r="78" spans="2:27" ht="13.9" customHeight="1" x14ac:dyDescent="0.25">
      <c r="B78" s="230" t="s">
        <v>92</v>
      </c>
      <c r="C78" s="248"/>
      <c r="D78" s="248"/>
      <c r="E78" s="34"/>
      <c r="F78" s="34"/>
      <c r="G78" s="293"/>
      <c r="H78" s="47">
        <v>1</v>
      </c>
      <c r="I78" s="47">
        <v>1</v>
      </c>
      <c r="J78" s="47">
        <v>1</v>
      </c>
      <c r="K78" s="47">
        <v>1</v>
      </c>
      <c r="L78" s="47">
        <v>1</v>
      </c>
      <c r="M78" s="40">
        <v>1</v>
      </c>
      <c r="N78" s="47">
        <v>1</v>
      </c>
      <c r="O78" s="47">
        <v>1</v>
      </c>
      <c r="P78" s="47">
        <v>1</v>
      </c>
      <c r="Q78" s="47">
        <v>1</v>
      </c>
      <c r="R78" s="47">
        <v>1</v>
      </c>
      <c r="S78" s="40">
        <v>1</v>
      </c>
      <c r="T78" s="47">
        <v>1</v>
      </c>
      <c r="U78" s="47">
        <v>1</v>
      </c>
      <c r="V78" s="47">
        <v>1</v>
      </c>
      <c r="W78" s="47">
        <v>1</v>
      </c>
      <c r="X78" s="47">
        <v>1</v>
      </c>
      <c r="Y78" s="40">
        <v>1</v>
      </c>
      <c r="Z78" s="273"/>
      <c r="AA78" s="1"/>
    </row>
    <row r="79" spans="2:27" ht="13.9" customHeight="1" x14ac:dyDescent="0.25">
      <c r="B79" s="230" t="s">
        <v>93</v>
      </c>
      <c r="C79" s="248"/>
      <c r="D79" s="248"/>
      <c r="E79" s="34"/>
      <c r="F79" s="34"/>
      <c r="G79" s="293"/>
      <c r="H79" s="47">
        <v>1</v>
      </c>
      <c r="I79" s="47">
        <v>1</v>
      </c>
      <c r="J79" s="47">
        <v>1</v>
      </c>
      <c r="K79" s="47">
        <v>1</v>
      </c>
      <c r="L79" s="47">
        <v>1</v>
      </c>
      <c r="M79" s="40">
        <v>1</v>
      </c>
      <c r="N79" s="47">
        <v>1</v>
      </c>
      <c r="O79" s="47">
        <v>1</v>
      </c>
      <c r="P79" s="47">
        <v>1</v>
      </c>
      <c r="Q79" s="47">
        <v>1</v>
      </c>
      <c r="R79" s="47">
        <v>1</v>
      </c>
      <c r="S79" s="40">
        <v>1</v>
      </c>
      <c r="T79" s="47">
        <v>1</v>
      </c>
      <c r="U79" s="47">
        <v>1</v>
      </c>
      <c r="V79" s="47">
        <v>1</v>
      </c>
      <c r="W79" s="47">
        <v>1</v>
      </c>
      <c r="X79" s="47">
        <v>1</v>
      </c>
      <c r="Y79" s="40">
        <v>1</v>
      </c>
      <c r="Z79" s="273"/>
      <c r="AA79" s="1"/>
    </row>
    <row r="80" spans="2:27" ht="13.9" customHeight="1" x14ac:dyDescent="0.25">
      <c r="B80" s="230" t="s">
        <v>94</v>
      </c>
      <c r="C80" s="248"/>
      <c r="D80" s="248"/>
      <c r="E80" s="34"/>
      <c r="F80" s="34"/>
      <c r="G80" s="293"/>
      <c r="H80" s="47"/>
      <c r="I80" s="47"/>
      <c r="J80" s="47"/>
      <c r="K80" s="47"/>
      <c r="L80" s="47"/>
      <c r="M80" s="189"/>
      <c r="N80" s="47"/>
      <c r="O80" s="47"/>
      <c r="P80" s="47"/>
      <c r="Q80" s="47"/>
      <c r="R80" s="47"/>
      <c r="S80" s="40"/>
      <c r="T80" s="47"/>
      <c r="U80" s="47"/>
      <c r="V80" s="47"/>
      <c r="W80" s="47"/>
      <c r="X80" s="47"/>
      <c r="Y80" s="40"/>
      <c r="Z80" s="273"/>
      <c r="AA80" s="1"/>
    </row>
    <row r="81" spans="2:37" ht="13.9" customHeight="1" x14ac:dyDescent="0.25">
      <c r="B81" s="230"/>
      <c r="C81" s="248"/>
      <c r="D81" s="248"/>
      <c r="E81" s="34"/>
      <c r="F81" s="34"/>
      <c r="G81" s="293"/>
      <c r="H81" s="47"/>
      <c r="I81" s="47"/>
      <c r="J81" s="47"/>
      <c r="K81" s="47"/>
      <c r="L81" s="47"/>
      <c r="M81" s="189"/>
      <c r="N81" s="47"/>
      <c r="O81" s="47"/>
      <c r="P81" s="47"/>
      <c r="Q81" s="47"/>
      <c r="R81" s="47"/>
      <c r="S81" s="189"/>
      <c r="T81" s="47"/>
      <c r="U81" s="47"/>
      <c r="V81" s="47"/>
      <c r="W81" s="47"/>
      <c r="X81" s="47"/>
      <c r="Y81" s="189"/>
      <c r="Z81" s="273"/>
      <c r="AA81" s="1"/>
    </row>
    <row r="82" spans="2:37" ht="13.9" customHeight="1" x14ac:dyDescent="0.25">
      <c r="B82" s="230"/>
      <c r="C82" s="248"/>
      <c r="D82" s="248"/>
      <c r="E82" s="34"/>
      <c r="F82" s="34"/>
      <c r="G82" s="293"/>
      <c r="H82" s="47"/>
      <c r="I82" s="47"/>
      <c r="J82" s="47"/>
      <c r="K82" s="47"/>
      <c r="L82" s="47"/>
      <c r="M82" s="189"/>
      <c r="N82" s="47"/>
      <c r="O82" s="47"/>
      <c r="P82" s="47"/>
      <c r="Q82" s="47"/>
      <c r="R82" s="47"/>
      <c r="S82" s="189"/>
      <c r="T82" s="47"/>
      <c r="U82" s="47"/>
      <c r="V82" s="47"/>
      <c r="W82" s="47"/>
      <c r="X82" s="47"/>
      <c r="Y82" s="189"/>
      <c r="Z82" s="273"/>
      <c r="AA82" s="1"/>
    </row>
    <row r="83" spans="2:37" ht="13.9" customHeight="1" x14ac:dyDescent="0.25">
      <c r="B83" s="206"/>
      <c r="C83" s="207"/>
      <c r="D83" s="207"/>
      <c r="E83" s="34"/>
      <c r="F83" s="34"/>
      <c r="G83" s="293"/>
      <c r="H83" s="47"/>
      <c r="I83" s="47"/>
      <c r="J83" s="47"/>
      <c r="K83" s="47"/>
      <c r="L83" s="47"/>
      <c r="M83" s="189"/>
      <c r="N83" s="47"/>
      <c r="O83" s="47"/>
      <c r="P83" s="47"/>
      <c r="Q83" s="47"/>
      <c r="R83" s="47"/>
      <c r="S83" s="189"/>
      <c r="T83" s="47"/>
      <c r="U83" s="47"/>
      <c r="V83" s="47"/>
      <c r="W83" s="47"/>
      <c r="X83" s="47"/>
      <c r="Y83" s="189"/>
      <c r="Z83" s="273"/>
      <c r="AA83" s="1"/>
    </row>
    <row r="84" spans="2:37" ht="13.9" customHeight="1" thickBot="1" x14ac:dyDescent="0.3">
      <c r="B84" s="209"/>
      <c r="C84" s="210"/>
      <c r="D84" s="210"/>
      <c r="E84" s="186"/>
      <c r="F84" s="69"/>
      <c r="G84" s="274"/>
      <c r="H84" s="70"/>
      <c r="I84" s="70"/>
      <c r="J84" s="70"/>
      <c r="K84" s="70"/>
      <c r="L84" s="70"/>
      <c r="M84" s="190"/>
      <c r="N84" s="70"/>
      <c r="O84" s="70"/>
      <c r="P84" s="70"/>
      <c r="Q84" s="70"/>
      <c r="R84" s="70"/>
      <c r="S84" s="190"/>
      <c r="T84" s="70"/>
      <c r="U84" s="70"/>
      <c r="V84" s="70"/>
      <c r="W84" s="70"/>
      <c r="X84" s="70"/>
      <c r="Y84" s="190"/>
      <c r="Z84" s="275"/>
      <c r="AA84" s="1"/>
    </row>
    <row r="85" spans="2:37" ht="13.9" customHeight="1" thickBot="1" x14ac:dyDescent="0.3">
      <c r="B85" s="72"/>
      <c r="C85" s="72"/>
      <c r="D85" s="72"/>
      <c r="E85" s="191"/>
      <c r="F85" s="192"/>
      <c r="G85" s="74"/>
      <c r="H85" s="75"/>
      <c r="I85" s="75"/>
      <c r="J85" s="75"/>
      <c r="K85" s="75"/>
      <c r="L85" s="75"/>
      <c r="M85" s="76"/>
      <c r="N85" s="75"/>
      <c r="O85" s="75"/>
      <c r="P85" s="75"/>
      <c r="Q85" s="75"/>
      <c r="R85" s="75"/>
      <c r="S85" s="76"/>
      <c r="T85" s="75"/>
      <c r="U85" s="75"/>
      <c r="V85" s="75"/>
      <c r="W85" s="75"/>
      <c r="X85" s="75"/>
      <c r="Y85" s="76"/>
      <c r="AA85" s="1"/>
    </row>
    <row r="86" spans="2:37" s="24" customFormat="1" ht="13.9" customHeight="1" thickBot="1" x14ac:dyDescent="0.4">
      <c r="B86" s="77" t="s">
        <v>95</v>
      </c>
      <c r="C86" s="78">
        <v>13.5</v>
      </c>
      <c r="E86" s="193"/>
      <c r="F86" s="192"/>
      <c r="G86" s="79"/>
      <c r="H86" s="80"/>
      <c r="I86" s="80"/>
      <c r="J86" s="80"/>
      <c r="K86" s="80"/>
      <c r="L86" s="80"/>
      <c r="M86" s="80"/>
      <c r="N86" s="80"/>
      <c r="O86" s="80"/>
      <c r="P86" s="80"/>
      <c r="Q86" s="80"/>
      <c r="R86" s="80"/>
      <c r="S86" s="80"/>
      <c r="T86" s="80"/>
      <c r="U86" s="80"/>
      <c r="V86" s="80"/>
      <c r="W86" s="80"/>
      <c r="X86" s="80"/>
      <c r="Y86" s="80"/>
    </row>
    <row r="87" spans="2:37" s="24" customFormat="1" ht="19.899999999999999" customHeight="1" thickBot="1" x14ac:dyDescent="0.4">
      <c r="E87" s="193"/>
      <c r="F87" s="192"/>
      <c r="G87" s="79"/>
      <c r="H87" s="80"/>
      <c r="I87" s="80"/>
      <c r="J87" s="80"/>
      <c r="K87" s="80"/>
      <c r="L87" s="80"/>
      <c r="M87" s="80"/>
      <c r="N87" s="80"/>
      <c r="O87" s="80"/>
      <c r="P87" s="80"/>
      <c r="Q87" s="80"/>
      <c r="R87" s="80"/>
      <c r="S87" s="80"/>
      <c r="T87" s="80"/>
      <c r="U87" s="80"/>
      <c r="V87" s="80"/>
      <c r="W87" s="80"/>
      <c r="X87" s="80"/>
      <c r="Y87" s="80"/>
    </row>
    <row r="88" spans="2:37" x14ac:dyDescent="0.25">
      <c r="B88" s="211" t="s">
        <v>96</v>
      </c>
      <c r="C88" s="212"/>
      <c r="D88" s="82">
        <f>C90*C86</f>
        <v>3375</v>
      </c>
      <c r="E88" s="194"/>
      <c r="F88" s="191"/>
      <c r="G88" s="84"/>
    </row>
    <row r="89" spans="2:37" ht="17.25" customHeight="1" thickBot="1" x14ac:dyDescent="0.3">
      <c r="B89" s="85"/>
      <c r="C89" s="86" t="s">
        <v>97</v>
      </c>
      <c r="D89" s="87" t="s">
        <v>98</v>
      </c>
      <c r="F89" s="191"/>
    </row>
    <row r="90" spans="2:37" ht="27" customHeight="1" thickBot="1" x14ac:dyDescent="0.25">
      <c r="B90" s="88" t="s">
        <v>99</v>
      </c>
      <c r="C90" s="89">
        <v>250</v>
      </c>
      <c r="D90" s="90">
        <v>250</v>
      </c>
      <c r="E90" s="339"/>
      <c r="F90" s="340"/>
      <c r="G90" s="92" t="s">
        <v>100</v>
      </c>
      <c r="H90" s="195" t="str">
        <f>H8</f>
        <v>0 - 5mints</v>
      </c>
      <c r="I90" s="196" t="str">
        <f>I8</f>
        <v>5 - 10mints</v>
      </c>
      <c r="J90" s="196" t="str">
        <f>J8</f>
        <v>10 - 15mints</v>
      </c>
      <c r="K90" s="196" t="str">
        <f>K8</f>
        <v>15 - 25mints</v>
      </c>
      <c r="L90" s="197" t="str">
        <f>L8</f>
        <v>25 - 30mints</v>
      </c>
      <c r="M90" s="93" t="s">
        <v>101</v>
      </c>
      <c r="N90" s="196" t="str">
        <f>N8</f>
        <v>0 - 5mints</v>
      </c>
      <c r="O90" s="196" t="str">
        <f>O8</f>
        <v>5 - 10mints</v>
      </c>
      <c r="P90" s="196" t="str">
        <f>P8</f>
        <v>10 - 15mints</v>
      </c>
      <c r="Q90" s="196" t="str">
        <f>Q8</f>
        <v>15 - 25mints</v>
      </c>
      <c r="R90" s="197" t="str">
        <f>R8</f>
        <v>25 - 30mints</v>
      </c>
      <c r="S90" s="93" t="s">
        <v>101</v>
      </c>
      <c r="T90" s="196" t="str">
        <f>T8</f>
        <v>0 - 5mints</v>
      </c>
      <c r="U90" s="196" t="str">
        <f>U8</f>
        <v>5 - 10mints</v>
      </c>
      <c r="V90" s="196" t="str">
        <f>V8</f>
        <v>10 - 15mints</v>
      </c>
      <c r="W90" s="196" t="str">
        <f>W8</f>
        <v>15 - 25mints</v>
      </c>
      <c r="X90" s="197" t="str">
        <f>X8</f>
        <v>25 - 30mints</v>
      </c>
      <c r="Y90" s="94" t="s">
        <v>101</v>
      </c>
      <c r="AA90" s="328"/>
    </row>
    <row r="91" spans="2:37" ht="13.5" customHeight="1" thickBot="1" x14ac:dyDescent="0.25">
      <c r="B91" s="96" t="s">
        <v>102</v>
      </c>
      <c r="C91" s="97">
        <v>250</v>
      </c>
      <c r="D91" s="98">
        <v>250</v>
      </c>
      <c r="E91" s="339"/>
      <c r="F91" s="340"/>
      <c r="G91" s="330"/>
      <c r="H91" s="331"/>
      <c r="I91" s="331"/>
      <c r="J91" s="331"/>
      <c r="K91" s="331"/>
      <c r="L91" s="331"/>
      <c r="M91" s="331"/>
      <c r="N91" s="331"/>
      <c r="O91" s="331"/>
      <c r="P91" s="331"/>
      <c r="Q91" s="331"/>
      <c r="R91" s="331"/>
      <c r="S91" s="331"/>
      <c r="T91" s="331"/>
      <c r="U91" s="331"/>
      <c r="V91" s="331"/>
      <c r="W91" s="331"/>
      <c r="X91" s="331"/>
      <c r="Y91" s="332"/>
      <c r="AA91" s="329"/>
    </row>
    <row r="92" spans="2:37" ht="25.5" customHeight="1" thickBot="1" x14ac:dyDescent="0.25">
      <c r="E92" s="198"/>
      <c r="F92" s="333" t="s">
        <v>103</v>
      </c>
      <c r="G92" s="199" t="s">
        <v>104</v>
      </c>
      <c r="H92" s="104">
        <f t="shared" ref="H92:Y92" si="0">SUMPRODUCT($F$9:$F$84,$G$9:$G$84,H9:H84)</f>
        <v>0</v>
      </c>
      <c r="I92" s="104">
        <f t="shared" si="0"/>
        <v>0</v>
      </c>
      <c r="J92" s="104">
        <f t="shared" si="0"/>
        <v>0</v>
      </c>
      <c r="K92" s="104">
        <f t="shared" si="0"/>
        <v>0</v>
      </c>
      <c r="L92" s="104">
        <f t="shared" si="0"/>
        <v>0</v>
      </c>
      <c r="M92" s="105">
        <f t="shared" si="0"/>
        <v>0</v>
      </c>
      <c r="N92" s="104">
        <f t="shared" si="0"/>
        <v>0</v>
      </c>
      <c r="O92" s="104">
        <f t="shared" si="0"/>
        <v>0</v>
      </c>
      <c r="P92" s="104">
        <f t="shared" si="0"/>
        <v>0</v>
      </c>
      <c r="Q92" s="104">
        <f t="shared" si="0"/>
        <v>0</v>
      </c>
      <c r="R92" s="104">
        <f t="shared" si="0"/>
        <v>0</v>
      </c>
      <c r="S92" s="105">
        <f t="shared" si="0"/>
        <v>0</v>
      </c>
      <c r="T92" s="104">
        <f t="shared" si="0"/>
        <v>0</v>
      </c>
      <c r="U92" s="104">
        <f t="shared" si="0"/>
        <v>0</v>
      </c>
      <c r="V92" s="104">
        <f t="shared" si="0"/>
        <v>0</v>
      </c>
      <c r="W92" s="104">
        <f t="shared" si="0"/>
        <v>0</v>
      </c>
      <c r="X92" s="106">
        <f t="shared" si="0"/>
        <v>0</v>
      </c>
      <c r="Y92" s="107">
        <f t="shared" si="0"/>
        <v>0</v>
      </c>
      <c r="AA92" s="108"/>
    </row>
    <row r="93" spans="2:37" ht="25.5" customHeight="1" thickBot="1" x14ac:dyDescent="0.25">
      <c r="B93" s="109" t="s">
        <v>105</v>
      </c>
      <c r="C93" s="110"/>
      <c r="D93" s="111"/>
      <c r="E93" s="198"/>
      <c r="F93" s="334"/>
      <c r="G93" s="200" t="s">
        <v>106</v>
      </c>
      <c r="H93" s="113">
        <f t="shared" ref="H93:Y93" si="1">SUMPRODUCT($E$9:$E$84,$G$9:$G$84,H9:H84)</f>
        <v>0</v>
      </c>
      <c r="I93" s="113">
        <f t="shared" si="1"/>
        <v>0</v>
      </c>
      <c r="J93" s="113">
        <f t="shared" si="1"/>
        <v>0</v>
      </c>
      <c r="K93" s="113">
        <f t="shared" si="1"/>
        <v>0</v>
      </c>
      <c r="L93" s="113">
        <f t="shared" si="1"/>
        <v>0</v>
      </c>
      <c r="M93" s="114">
        <f t="shared" si="1"/>
        <v>0</v>
      </c>
      <c r="N93" s="113">
        <f t="shared" si="1"/>
        <v>0</v>
      </c>
      <c r="O93" s="113">
        <f t="shared" si="1"/>
        <v>0</v>
      </c>
      <c r="P93" s="113">
        <f t="shared" si="1"/>
        <v>0</v>
      </c>
      <c r="Q93" s="113">
        <f t="shared" si="1"/>
        <v>0</v>
      </c>
      <c r="R93" s="113">
        <f t="shared" si="1"/>
        <v>0</v>
      </c>
      <c r="S93" s="114">
        <f t="shared" si="1"/>
        <v>0</v>
      </c>
      <c r="T93" s="113">
        <f t="shared" si="1"/>
        <v>0</v>
      </c>
      <c r="U93" s="113">
        <f t="shared" si="1"/>
        <v>0</v>
      </c>
      <c r="V93" s="113">
        <f t="shared" si="1"/>
        <v>0</v>
      </c>
      <c r="W93" s="113">
        <f t="shared" si="1"/>
        <v>0</v>
      </c>
      <c r="X93" s="115">
        <f t="shared" si="1"/>
        <v>0</v>
      </c>
      <c r="Y93" s="116">
        <f t="shared" si="1"/>
        <v>0</v>
      </c>
      <c r="AA93" s="108"/>
    </row>
    <row r="94" spans="2:37" ht="12" thickBot="1" x14ac:dyDescent="0.3">
      <c r="G94" s="119"/>
      <c r="H94" s="120"/>
      <c r="I94" s="120"/>
      <c r="J94" s="120"/>
      <c r="K94" s="120"/>
      <c r="L94" s="120"/>
      <c r="M94" s="120"/>
      <c r="N94" s="120"/>
      <c r="O94" s="120"/>
      <c r="P94" s="120"/>
      <c r="Q94" s="120"/>
      <c r="R94" s="120"/>
      <c r="S94" s="120"/>
      <c r="T94" s="120"/>
      <c r="U94" s="120"/>
      <c r="V94" s="120"/>
      <c r="W94" s="120"/>
      <c r="X94" s="120"/>
      <c r="Y94" s="120"/>
      <c r="AA94" s="121"/>
    </row>
    <row r="95" spans="2:37" ht="12.75" customHeight="1" x14ac:dyDescent="0.25">
      <c r="E95" s="324" t="s">
        <v>107</v>
      </c>
      <c r="F95" s="325"/>
      <c r="G95" s="335" t="s">
        <v>104</v>
      </c>
      <c r="H95" s="122">
        <f>IF(H92&gt;0, (C90-H92),0)</f>
        <v>0</v>
      </c>
      <c r="I95" s="122">
        <f>IF(I92&gt;0, (C90-I92),0)</f>
        <v>0</v>
      </c>
      <c r="J95" s="122">
        <f>IF(J92&gt;0, (C90-J92),0)</f>
        <v>0</v>
      </c>
      <c r="K95" s="122">
        <f>IF(K92&gt;0, (D90-K92),0)</f>
        <v>0</v>
      </c>
      <c r="L95" s="122">
        <f>IF(L92&gt;0, (D90-L92),0)</f>
        <v>0</v>
      </c>
      <c r="M95" s="337"/>
      <c r="N95" s="122">
        <f>IF(N92&gt;0, (C90-N92),0)</f>
        <v>0</v>
      </c>
      <c r="O95" s="122">
        <f>IF(O92&gt;0, (C90-O92),0)</f>
        <v>0</v>
      </c>
      <c r="P95" s="122">
        <f>IF(P92&gt;0, (C90-P92),0)</f>
        <v>0</v>
      </c>
      <c r="Q95" s="122">
        <f>IF(Q92&gt;0, (D90-Q92),0)</f>
        <v>0</v>
      </c>
      <c r="R95" s="122">
        <f>IF(R92&gt;0, (D90-R92),0)</f>
        <v>0</v>
      </c>
      <c r="S95" s="337"/>
      <c r="T95" s="122">
        <f>IF(T92&gt;0, (D91-T92),0)</f>
        <v>0</v>
      </c>
      <c r="U95" s="122">
        <f>IF(U92&gt;0, (D91-U92),0)</f>
        <v>0</v>
      </c>
      <c r="V95" s="122">
        <f>IF(V92&gt;0, (D91-V92),0)</f>
        <v>0</v>
      </c>
      <c r="W95" s="122">
        <f>IF(W92&gt;0, (D91-W92),0)</f>
        <v>0</v>
      </c>
      <c r="X95" s="122">
        <f>IF(X92&gt;0, (D91-X92),0)</f>
        <v>0</v>
      </c>
      <c r="Y95" s="338"/>
      <c r="AB95" s="4"/>
      <c r="AC95" s="4"/>
      <c r="AD95" s="4"/>
      <c r="AE95" s="4"/>
      <c r="AF95" s="4"/>
      <c r="AG95" s="4"/>
      <c r="AH95" s="4"/>
      <c r="AI95" s="4"/>
      <c r="AJ95" s="4"/>
      <c r="AK95" s="4"/>
    </row>
    <row r="96" spans="2:37" ht="13.15" customHeight="1" thickBot="1" x14ac:dyDescent="0.25">
      <c r="E96" s="321" t="s">
        <v>108</v>
      </c>
      <c r="F96" s="322"/>
      <c r="G96" s="336"/>
      <c r="H96" s="123">
        <f>(H95*5)/60</f>
        <v>0</v>
      </c>
      <c r="I96" s="123">
        <f>(I95*5)/60</f>
        <v>0</v>
      </c>
      <c r="J96" s="123">
        <f>(J95*5)/60</f>
        <v>0</v>
      </c>
      <c r="K96" s="123">
        <f>(K95*10)/60</f>
        <v>0</v>
      </c>
      <c r="L96" s="124">
        <f>(L95*5)/60</f>
        <v>0</v>
      </c>
      <c r="M96" s="337"/>
      <c r="N96" s="125">
        <f>(N95*5)/60</f>
        <v>0</v>
      </c>
      <c r="O96" s="123">
        <f>(O95*5)/60</f>
        <v>0</v>
      </c>
      <c r="P96" s="123">
        <f>(P95*5)/60</f>
        <v>0</v>
      </c>
      <c r="Q96" s="123">
        <f>(Q95*10)/60</f>
        <v>0</v>
      </c>
      <c r="R96" s="124">
        <f>(R95*5)/60</f>
        <v>0</v>
      </c>
      <c r="S96" s="337"/>
      <c r="T96" s="125">
        <f>(T95*5)/60</f>
        <v>0</v>
      </c>
      <c r="U96" s="123">
        <f>(U95*5)/60</f>
        <v>0</v>
      </c>
      <c r="V96" s="123">
        <f>(V95*5)/60</f>
        <v>0</v>
      </c>
      <c r="W96" s="123">
        <f>(W95*10)/60</f>
        <v>0</v>
      </c>
      <c r="X96" s="124">
        <f>(X95*5)/60</f>
        <v>0</v>
      </c>
      <c r="Y96" s="338"/>
    </row>
    <row r="97" spans="2:27" ht="12.75" customHeight="1" x14ac:dyDescent="0.25">
      <c r="E97" s="324" t="s">
        <v>107</v>
      </c>
      <c r="F97" s="325"/>
      <c r="G97" s="326" t="s">
        <v>106</v>
      </c>
      <c r="H97" s="122">
        <f>IF(H93&gt;0, (D90-H93),0)</f>
        <v>0</v>
      </c>
      <c r="I97" s="122">
        <f>IF(I93&gt;0, (D90-I93),0)</f>
        <v>0</v>
      </c>
      <c r="J97" s="122">
        <f>IF(J93&gt;0, (D90-J93),0)</f>
        <v>0</v>
      </c>
      <c r="K97" s="122">
        <f>IF(K93&gt;0, (D90-K93),0)</f>
        <v>0</v>
      </c>
      <c r="L97" s="122">
        <f>IF(L93&gt;0, (D90-L93),0)</f>
        <v>0</v>
      </c>
      <c r="M97" s="337"/>
      <c r="N97" s="122">
        <f>IF(N93&gt;0, (D90-N93),0)</f>
        <v>0</v>
      </c>
      <c r="O97" s="122">
        <f>IF(O93&gt;0, (D90-O93),0)</f>
        <v>0</v>
      </c>
      <c r="P97" s="122">
        <f>IF(P93&gt;0, (D90-P93),0)</f>
        <v>0</v>
      </c>
      <c r="Q97" s="122">
        <f>IF(Q93&gt;0, (D90-Q93),0)</f>
        <v>0</v>
      </c>
      <c r="R97" s="122">
        <f>IF(R93&gt;0, (D90-R93),0)</f>
        <v>0</v>
      </c>
      <c r="S97" s="337"/>
      <c r="T97" s="122">
        <f>IF(T93&gt;0, (D91-T93),0)</f>
        <v>0</v>
      </c>
      <c r="U97" s="122">
        <f>IF(U93&gt;0, (D91-U93),0)</f>
        <v>0</v>
      </c>
      <c r="V97" s="122">
        <f>IF(V93&gt;0, (D91-V93),0)</f>
        <v>0</v>
      </c>
      <c r="W97" s="122">
        <f>IF(W93&gt;0, (D91-W93),0)</f>
        <v>0</v>
      </c>
      <c r="X97" s="122">
        <f>IF(X93&gt;0, (D91-X93),0)</f>
        <v>0</v>
      </c>
      <c r="Y97" s="338"/>
    </row>
    <row r="98" spans="2:27" ht="13.15" customHeight="1" thickBot="1" x14ac:dyDescent="0.25">
      <c r="E98" s="321" t="s">
        <v>108</v>
      </c>
      <c r="F98" s="322"/>
      <c r="G98" s="327"/>
      <c r="H98" s="123">
        <f>(H97*5)/60</f>
        <v>0</v>
      </c>
      <c r="I98" s="123">
        <f>(I97*5)/60</f>
        <v>0</v>
      </c>
      <c r="J98" s="123">
        <f>(J97*5)/60</f>
        <v>0</v>
      </c>
      <c r="K98" s="123">
        <f>(K97*10)/60</f>
        <v>0</v>
      </c>
      <c r="L98" s="124">
        <f>(L97*5)/60</f>
        <v>0</v>
      </c>
      <c r="M98" s="337"/>
      <c r="N98" s="125">
        <f>(N97*5)/60</f>
        <v>0</v>
      </c>
      <c r="O98" s="123">
        <f>(O97*5)/60</f>
        <v>0</v>
      </c>
      <c r="P98" s="123">
        <f>(P97*5)/60</f>
        <v>0</v>
      </c>
      <c r="Q98" s="123">
        <f>(Q97*10)/60</f>
        <v>0</v>
      </c>
      <c r="R98" s="124">
        <f>(R97*5)/60</f>
        <v>0</v>
      </c>
      <c r="S98" s="337"/>
      <c r="T98" s="125">
        <f>(T97*5)/60</f>
        <v>0</v>
      </c>
      <c r="U98" s="123">
        <f>(U97*5)/60</f>
        <v>0</v>
      </c>
      <c r="V98" s="123">
        <f>(V97*5)/60</f>
        <v>0</v>
      </c>
      <c r="W98" s="123">
        <f>(W97*10)/60</f>
        <v>0</v>
      </c>
      <c r="X98" s="124">
        <f>(X97*5)/60</f>
        <v>0</v>
      </c>
      <c r="Y98" s="338"/>
    </row>
    <row r="99" spans="2:27" ht="12" thickBot="1" x14ac:dyDescent="0.3">
      <c r="B99" s="208" t="s">
        <v>109</v>
      </c>
      <c r="C99" s="208"/>
      <c r="D99" s="126">
        <v>10</v>
      </c>
      <c r="E99" s="127"/>
      <c r="F99" s="128"/>
    </row>
    <row r="100" spans="2:27" ht="13.15" customHeight="1" thickBot="1" x14ac:dyDescent="0.25">
      <c r="B100" s="208" t="s">
        <v>110</v>
      </c>
      <c r="C100" s="208"/>
      <c r="D100" s="126">
        <v>5</v>
      </c>
      <c r="E100" s="321" t="s">
        <v>111</v>
      </c>
      <c r="F100" s="322"/>
      <c r="G100" s="323" t="s">
        <v>104</v>
      </c>
      <c r="H100" s="129">
        <f>IF(H95&gt;D101,D101,H95)</f>
        <v>0</v>
      </c>
      <c r="I100" s="129">
        <f>IF(I95&gt;D101,D101,I95)</f>
        <v>0</v>
      </c>
      <c r="J100" s="129">
        <f>IF(J95&gt;D101,D101,J95)</f>
        <v>0</v>
      </c>
      <c r="K100" s="129">
        <f>IF(K95&gt;D101,D101,K95)</f>
        <v>0</v>
      </c>
      <c r="L100" s="129">
        <f>IF(L95&gt;D101,D101,L95)</f>
        <v>0</v>
      </c>
      <c r="M100" s="312"/>
      <c r="N100" s="130">
        <f>IF(N95&gt;D100,D100,N95)</f>
        <v>0</v>
      </c>
      <c r="O100" s="130">
        <f>IF(O95&gt;D100,D100,O95)</f>
        <v>0</v>
      </c>
      <c r="P100" s="130">
        <f>IF(P95&gt;D100,D100,P95)</f>
        <v>0</v>
      </c>
      <c r="Q100" s="130">
        <f>IF(Q95&gt;D100,D100,Q95)</f>
        <v>0</v>
      </c>
      <c r="R100" s="130">
        <f>IF(R95&gt;D100,D100,R95)</f>
        <v>0</v>
      </c>
      <c r="S100" s="315"/>
      <c r="T100" s="130">
        <f>IF(T95&gt;D99,D99,T95)</f>
        <v>0</v>
      </c>
      <c r="U100" s="131">
        <f>IF(U95&gt;D99,D99,U95)</f>
        <v>0</v>
      </c>
      <c r="V100" s="131">
        <f>IF(V95&gt;D99,D99,V95)</f>
        <v>0</v>
      </c>
      <c r="W100" s="131">
        <f>IF(W95&gt;D99,D99,W95)</f>
        <v>0</v>
      </c>
      <c r="X100" s="132">
        <f>IF(X95&gt;D99,D99,X95)</f>
        <v>0</v>
      </c>
      <c r="Y100" s="318"/>
    </row>
    <row r="101" spans="2:27" ht="13.9" customHeight="1" thickBot="1" x14ac:dyDescent="0.25">
      <c r="B101" s="208" t="s">
        <v>112</v>
      </c>
      <c r="C101" s="208"/>
      <c r="D101" s="126">
        <v>4</v>
      </c>
      <c r="E101" s="319" t="s">
        <v>113</v>
      </c>
      <c r="F101" s="320"/>
      <c r="G101" s="323"/>
      <c r="H101" s="129">
        <f>(H100*5)/60</f>
        <v>0</v>
      </c>
      <c r="I101" s="129">
        <f>H101+(I100*5)/60</f>
        <v>0</v>
      </c>
      <c r="J101" s="129">
        <f>I101+((J100*5)/60)</f>
        <v>0</v>
      </c>
      <c r="K101" s="129">
        <f>J101+((K100*10)/60)</f>
        <v>0</v>
      </c>
      <c r="L101" s="129">
        <f>K101+((L100*5)/60)</f>
        <v>0</v>
      </c>
      <c r="M101" s="313"/>
      <c r="N101" s="133">
        <f>(N100*5)/60</f>
        <v>0</v>
      </c>
      <c r="O101" s="134">
        <f>N101+(O100*5)/60</f>
        <v>0</v>
      </c>
      <c r="P101" s="134">
        <f>O101+((P100*5)/60)</f>
        <v>0</v>
      </c>
      <c r="Q101" s="134">
        <f>P101+((Q100*10)/60)</f>
        <v>0</v>
      </c>
      <c r="R101" s="135">
        <f>Q101+((R100*5)/60)</f>
        <v>0</v>
      </c>
      <c r="S101" s="316"/>
      <c r="T101" s="133">
        <f>(T100*5)/60</f>
        <v>0</v>
      </c>
      <c r="U101" s="134">
        <f>T101+(U100*5)/60</f>
        <v>0</v>
      </c>
      <c r="V101" s="134">
        <f>U101+((V100*5)/60)</f>
        <v>0</v>
      </c>
      <c r="W101" s="134">
        <f>V101+((W100*10)/60)</f>
        <v>0</v>
      </c>
      <c r="X101" s="135">
        <f>W101+((X100*5)/60)</f>
        <v>0</v>
      </c>
      <c r="Y101" s="318"/>
    </row>
    <row r="102" spans="2:27" ht="13.15" customHeight="1" thickBot="1" x14ac:dyDescent="0.25">
      <c r="E102" s="321" t="s">
        <v>114</v>
      </c>
      <c r="F102" s="322"/>
      <c r="G102" s="323" t="s">
        <v>106</v>
      </c>
      <c r="H102" s="129">
        <f>IF(H97&gt;D101,D101,H97)</f>
        <v>0</v>
      </c>
      <c r="I102" s="129">
        <f>IF(I97&gt;D101,D101,I97)</f>
        <v>0</v>
      </c>
      <c r="J102" s="129">
        <f>IF(J97&gt;D101,D101,J97)</f>
        <v>0</v>
      </c>
      <c r="K102" s="129">
        <f>IF(K97&gt;D101,D101,K97)</f>
        <v>0</v>
      </c>
      <c r="L102" s="129">
        <f>IF(L97&gt;D101,D101,L97)</f>
        <v>0</v>
      </c>
      <c r="M102" s="313"/>
      <c r="N102" s="130">
        <f>IF(N97&gt;D100,D100,N97)</f>
        <v>0</v>
      </c>
      <c r="O102" s="131">
        <f>IF(O97&gt;D100,D100,O97)</f>
        <v>0</v>
      </c>
      <c r="P102" s="131">
        <f>IF(P97&gt;D100,D100,P97)</f>
        <v>0</v>
      </c>
      <c r="Q102" s="131">
        <f>IF(Q97&gt;D100,D100,Q97)</f>
        <v>0</v>
      </c>
      <c r="R102" s="132">
        <f>IF(R97&gt;D100,D100,R97)</f>
        <v>0</v>
      </c>
      <c r="S102" s="316"/>
      <c r="T102" s="130">
        <f>IF(T97&gt;D99,D99,T97)</f>
        <v>0</v>
      </c>
      <c r="U102" s="131">
        <f>IF(U97&gt;D99,D99,U97)</f>
        <v>0</v>
      </c>
      <c r="V102" s="131">
        <f>IF(V97&gt;D99,D99,V97)</f>
        <v>0</v>
      </c>
      <c r="W102" s="131">
        <f>IF(W97&gt;D99,D99,W97)</f>
        <v>0</v>
      </c>
      <c r="X102" s="132">
        <f>IF(X97&gt;D99,D99,X97)</f>
        <v>0</v>
      </c>
      <c r="Y102" s="318"/>
    </row>
    <row r="103" spans="2:27" ht="13.9" customHeight="1" thickBot="1" x14ac:dyDescent="0.25">
      <c r="E103" s="319" t="s">
        <v>113</v>
      </c>
      <c r="F103" s="320"/>
      <c r="G103" s="323"/>
      <c r="H103" s="129">
        <f>(H102*5)/60</f>
        <v>0</v>
      </c>
      <c r="I103" s="129">
        <f>H103+(I102*5)/60</f>
        <v>0</v>
      </c>
      <c r="J103" s="129">
        <f>I103+((J102*5)/60)</f>
        <v>0</v>
      </c>
      <c r="K103" s="129">
        <f>J103+((K102*10)/60)</f>
        <v>0</v>
      </c>
      <c r="L103" s="129">
        <f>K103+((L102*5)/60)</f>
        <v>0</v>
      </c>
      <c r="M103" s="314"/>
      <c r="N103" s="133">
        <f>(N102*5)/60</f>
        <v>0</v>
      </c>
      <c r="O103" s="134">
        <f>N103+(O102*5)/60</f>
        <v>0</v>
      </c>
      <c r="P103" s="134">
        <f>O103+((P102*5)/60)</f>
        <v>0</v>
      </c>
      <c r="Q103" s="134">
        <f>P103+((Q102*10)/60)</f>
        <v>0</v>
      </c>
      <c r="R103" s="135">
        <f>Q103+((R102*5)/60)</f>
        <v>0</v>
      </c>
      <c r="S103" s="317"/>
      <c r="T103" s="133">
        <f>(T102*5)/60</f>
        <v>0</v>
      </c>
      <c r="U103" s="134">
        <f>T103+(U102*5)/60</f>
        <v>0</v>
      </c>
      <c r="V103" s="134">
        <f>U103+((V102*5)/60)</f>
        <v>0</v>
      </c>
      <c r="W103" s="134">
        <f>V103+((W102*10)/60)</f>
        <v>0</v>
      </c>
      <c r="X103" s="135">
        <f>W103+((X102*5)/60)</f>
        <v>0</v>
      </c>
      <c r="Y103" s="318"/>
    </row>
    <row r="104" spans="2:27" ht="14.5" customHeight="1" x14ac:dyDescent="0.3">
      <c r="B104" s="136" t="s">
        <v>115</v>
      </c>
      <c r="H104" s="306"/>
      <c r="I104" s="307"/>
      <c r="J104" s="307"/>
      <c r="K104" s="307"/>
      <c r="L104" s="307"/>
      <c r="M104" s="307"/>
      <c r="N104" s="308"/>
      <c r="O104" s="308"/>
      <c r="P104" s="308"/>
      <c r="Q104" s="308"/>
      <c r="R104" s="308"/>
      <c r="S104" s="307"/>
      <c r="T104" s="308"/>
      <c r="U104" s="308"/>
      <c r="V104" s="308"/>
      <c r="W104" s="308"/>
      <c r="X104" s="308"/>
      <c r="Y104" s="137"/>
    </row>
    <row r="105" spans="2:27" ht="21" x14ac:dyDescent="0.25">
      <c r="B105" s="201" t="s">
        <v>116</v>
      </c>
      <c r="C105" s="202" t="s">
        <v>117</v>
      </c>
      <c r="D105" s="202" t="s">
        <v>118</v>
      </c>
    </row>
    <row r="106" spans="2:27" ht="17.5" customHeight="1" thickBot="1" x14ac:dyDescent="0.3">
      <c r="B106" s="203" t="s">
        <v>119</v>
      </c>
      <c r="C106" s="204">
        <v>10</v>
      </c>
      <c r="D106" s="204">
        <v>10</v>
      </c>
    </row>
    <row r="107" spans="2:27" ht="26.5" customHeight="1" thickBot="1" x14ac:dyDescent="0.3">
      <c r="B107" s="203" t="s">
        <v>120</v>
      </c>
      <c r="C107" s="204">
        <v>5</v>
      </c>
      <c r="D107" s="204">
        <v>5</v>
      </c>
      <c r="G107" s="138" t="s">
        <v>121</v>
      </c>
      <c r="H107" s="139" t="str">
        <f>H8</f>
        <v>0 - 5mints</v>
      </c>
      <c r="I107" s="139" t="str">
        <f>I8</f>
        <v>5 - 10mints</v>
      </c>
      <c r="J107" s="139" t="str">
        <f>J8</f>
        <v>10 - 15mints</v>
      </c>
      <c r="K107" s="139" t="str">
        <f>K8</f>
        <v>15 - 25mints</v>
      </c>
      <c r="L107" s="139" t="str">
        <f>L8</f>
        <v>25 - 30mints</v>
      </c>
      <c r="M107" s="93" t="s">
        <v>101</v>
      </c>
      <c r="N107" s="139" t="str">
        <f>N8</f>
        <v>0 - 5mints</v>
      </c>
      <c r="O107" s="139" t="str">
        <f>O8</f>
        <v>5 - 10mints</v>
      </c>
      <c r="P107" s="139" t="str">
        <f>P8</f>
        <v>10 - 15mints</v>
      </c>
      <c r="Q107" s="139" t="str">
        <f>Q8</f>
        <v>15 - 25mints</v>
      </c>
      <c r="R107" s="139" t="str">
        <f>R8</f>
        <v>25 - 30mints</v>
      </c>
      <c r="S107" s="93" t="s">
        <v>101</v>
      </c>
      <c r="T107" s="139" t="str">
        <f>T8</f>
        <v>0 - 5mints</v>
      </c>
      <c r="U107" s="139" t="str">
        <f>U8</f>
        <v>5 - 10mints</v>
      </c>
      <c r="V107" s="139" t="str">
        <f>V8</f>
        <v>10 - 15mints</v>
      </c>
      <c r="W107" s="139" t="str">
        <f>W8</f>
        <v>15 - 25mints</v>
      </c>
      <c r="X107" s="139" t="str">
        <f>X8</f>
        <v>25 - 30mints</v>
      </c>
      <c r="Y107" s="93" t="s">
        <v>101</v>
      </c>
      <c r="AA107" s="95"/>
    </row>
    <row r="108" spans="2:27" ht="16.149999999999999" customHeight="1" thickBot="1" x14ac:dyDescent="0.3">
      <c r="B108" s="203" t="s">
        <v>122</v>
      </c>
      <c r="C108" s="204">
        <v>4</v>
      </c>
      <c r="D108" s="204">
        <v>4</v>
      </c>
      <c r="G108" s="309"/>
      <c r="H108" s="310"/>
      <c r="I108" s="310"/>
      <c r="J108" s="310"/>
      <c r="K108" s="310"/>
      <c r="L108" s="310"/>
      <c r="M108" s="310"/>
      <c r="N108" s="310"/>
      <c r="O108" s="310"/>
      <c r="P108" s="310"/>
      <c r="Q108" s="310"/>
      <c r="R108" s="310"/>
      <c r="S108" s="310"/>
      <c r="T108" s="310"/>
      <c r="U108" s="310"/>
      <c r="V108" s="310"/>
      <c r="W108" s="310"/>
      <c r="X108" s="310"/>
      <c r="Y108" s="311"/>
      <c r="AA108" s="102"/>
    </row>
    <row r="109" spans="2:27" ht="23.25" customHeight="1" thickBot="1" x14ac:dyDescent="0.3">
      <c r="G109" s="199" t="s">
        <v>104</v>
      </c>
      <c r="H109" s="144">
        <f>13.5*H92</f>
        <v>0</v>
      </c>
      <c r="I109" s="144">
        <f>13.5*I92</f>
        <v>0</v>
      </c>
      <c r="J109" s="144">
        <f>13.5*J92</f>
        <v>0</v>
      </c>
      <c r="K109" s="144">
        <f t="shared" ref="K109:X109" si="2">13.5*K92</f>
        <v>0</v>
      </c>
      <c r="L109" s="144">
        <f t="shared" si="2"/>
        <v>0</v>
      </c>
      <c r="M109" s="145">
        <f t="shared" si="2"/>
        <v>0</v>
      </c>
      <c r="N109" s="144">
        <f t="shared" si="2"/>
        <v>0</v>
      </c>
      <c r="O109" s="144">
        <f>13.5*O92</f>
        <v>0</v>
      </c>
      <c r="P109" s="144">
        <f>13.5*P92</f>
        <v>0</v>
      </c>
      <c r="Q109" s="144">
        <f t="shared" si="2"/>
        <v>0</v>
      </c>
      <c r="R109" s="144">
        <f t="shared" si="2"/>
        <v>0</v>
      </c>
      <c r="S109" s="145">
        <f>13.5*S92</f>
        <v>0</v>
      </c>
      <c r="T109" s="144">
        <f t="shared" si="2"/>
        <v>0</v>
      </c>
      <c r="U109" s="144">
        <f>13.5*U92</f>
        <v>0</v>
      </c>
      <c r="V109" s="144">
        <f>13.5*V92</f>
        <v>0</v>
      </c>
      <c r="W109" s="144">
        <f t="shared" si="2"/>
        <v>0</v>
      </c>
      <c r="X109" s="144">
        <f t="shared" si="2"/>
        <v>0</v>
      </c>
      <c r="Y109" s="145">
        <f>13.5*Y92</f>
        <v>0</v>
      </c>
      <c r="AA109" s="108"/>
    </row>
    <row r="110" spans="2:27" ht="24" customHeight="1" thickBot="1" x14ac:dyDescent="0.3">
      <c r="G110" s="200" t="s">
        <v>106</v>
      </c>
      <c r="H110" s="113">
        <f t="shared" ref="H110:X110" si="3">13.5*H93</f>
        <v>0</v>
      </c>
      <c r="I110" s="113">
        <f>13.5*I93</f>
        <v>0</v>
      </c>
      <c r="J110" s="113">
        <f>13.5*J93</f>
        <v>0</v>
      </c>
      <c r="K110" s="113">
        <f t="shared" si="3"/>
        <v>0</v>
      </c>
      <c r="L110" s="113">
        <f t="shared" si="3"/>
        <v>0</v>
      </c>
      <c r="M110" s="114">
        <f t="shared" si="3"/>
        <v>0</v>
      </c>
      <c r="N110" s="113">
        <f t="shared" si="3"/>
        <v>0</v>
      </c>
      <c r="O110" s="113">
        <f>13.5*O93</f>
        <v>0</v>
      </c>
      <c r="P110" s="113">
        <f>13.5*P93</f>
        <v>0</v>
      </c>
      <c r="Q110" s="113">
        <f t="shared" si="3"/>
        <v>0</v>
      </c>
      <c r="R110" s="113">
        <f t="shared" si="3"/>
        <v>0</v>
      </c>
      <c r="S110" s="114">
        <f>13.5*S93</f>
        <v>0</v>
      </c>
      <c r="T110" s="113">
        <f t="shared" si="3"/>
        <v>0</v>
      </c>
      <c r="U110" s="113">
        <f>13.5*U93</f>
        <v>0</v>
      </c>
      <c r="V110" s="113">
        <f>13.5*V93</f>
        <v>0</v>
      </c>
      <c r="W110" s="113">
        <f t="shared" si="3"/>
        <v>0</v>
      </c>
      <c r="X110" s="113">
        <f t="shared" si="3"/>
        <v>0</v>
      </c>
      <c r="Y110" s="114">
        <f>13.5*Y93</f>
        <v>0</v>
      </c>
      <c r="AA110" s="108"/>
    </row>
    <row r="114" spans="7:7" x14ac:dyDescent="0.25">
      <c r="G114" s="2"/>
    </row>
    <row r="115" spans="7:7" x14ac:dyDescent="0.25">
      <c r="G115" s="2"/>
    </row>
    <row r="116" spans="7:7" x14ac:dyDescent="0.25">
      <c r="G116" s="2"/>
    </row>
    <row r="117" spans="7:7" x14ac:dyDescent="0.25">
      <c r="G117" s="2"/>
    </row>
    <row r="118" spans="7:7" x14ac:dyDescent="0.25">
      <c r="G118" s="2"/>
    </row>
    <row r="119" spans="7:7" x14ac:dyDescent="0.25">
      <c r="G119" s="2"/>
    </row>
  </sheetData>
  <dataConsolidate/>
  <mergeCells count="37">
    <mergeCell ref="Z1:Z5"/>
    <mergeCell ref="H6:Y6"/>
    <mergeCell ref="Z6:Z8"/>
    <mergeCell ref="E7:F7"/>
    <mergeCell ref="G7:G8"/>
    <mergeCell ref="H7:L7"/>
    <mergeCell ref="M7:M8"/>
    <mergeCell ref="N7:R7"/>
    <mergeCell ref="E66:Y66"/>
    <mergeCell ref="S7:S8"/>
    <mergeCell ref="T7:X7"/>
    <mergeCell ref="Y7:Y8"/>
    <mergeCell ref="H1:Y5"/>
    <mergeCell ref="AA90:AA91"/>
    <mergeCell ref="G91:Y91"/>
    <mergeCell ref="F92:F93"/>
    <mergeCell ref="E95:F95"/>
    <mergeCell ref="G95:G96"/>
    <mergeCell ref="M95:M98"/>
    <mergeCell ref="S95:S98"/>
    <mergeCell ref="Y95:Y98"/>
    <mergeCell ref="E96:F96"/>
    <mergeCell ref="E90:F91"/>
    <mergeCell ref="E101:F101"/>
    <mergeCell ref="E102:F102"/>
    <mergeCell ref="G102:G103"/>
    <mergeCell ref="E103:F103"/>
    <mergeCell ref="E97:F97"/>
    <mergeCell ref="G97:G98"/>
    <mergeCell ref="E98:F98"/>
    <mergeCell ref="E100:F100"/>
    <mergeCell ref="G100:G101"/>
    <mergeCell ref="H104:X104"/>
    <mergeCell ref="G108:Y108"/>
    <mergeCell ref="M100:M103"/>
    <mergeCell ref="S100:S103"/>
    <mergeCell ref="Y100:Y103"/>
  </mergeCells>
  <conditionalFormatting sqref="E15:E18 E20:E23 E10:F13 F15">
    <cfRule type="colorScale" priority="70">
      <colorScale>
        <cfvo type="num" val="0"/>
        <cfvo type="num" val="1"/>
        <color rgb="FF00B050"/>
        <color rgb="FFFFC000"/>
      </colorScale>
    </cfRule>
  </conditionalFormatting>
  <conditionalFormatting sqref="E31">
    <cfRule type="colorScale" priority="45">
      <colorScale>
        <cfvo type="num" val="0"/>
        <cfvo type="num" val="1"/>
        <color rgb="FF00B050"/>
        <color rgb="FFFFC000"/>
      </colorScale>
    </cfRule>
    <cfRule type="colorScale" priority="46">
      <colorScale>
        <cfvo type="num" val="0"/>
        <cfvo type="num" val="1"/>
        <color rgb="FF00B050"/>
        <color rgb="FFFFC000"/>
      </colorScale>
    </cfRule>
  </conditionalFormatting>
  <conditionalFormatting sqref="E41">
    <cfRule type="colorScale" priority="50">
      <colorScale>
        <cfvo type="num" val="0"/>
        <cfvo type="num" val="1"/>
        <color rgb="FF00B050"/>
        <color rgb="FFFFC000"/>
      </colorScale>
    </cfRule>
    <cfRule type="colorScale" priority="49">
      <colorScale>
        <cfvo type="num" val="0"/>
        <cfvo type="num" val="1"/>
        <color rgb="FF00B050"/>
        <color rgb="FFFFC000"/>
      </colorScale>
    </cfRule>
  </conditionalFormatting>
  <conditionalFormatting sqref="E65">
    <cfRule type="colorScale" priority="54">
      <colorScale>
        <cfvo type="num" val="0"/>
        <cfvo type="num" val="1"/>
        <color rgb="FF00B050"/>
        <color rgb="FFFFC000"/>
      </colorScale>
    </cfRule>
    <cfRule type="colorScale" priority="53">
      <colorScale>
        <cfvo type="num" val="0"/>
        <cfvo type="num" val="1"/>
        <color rgb="FF00B050"/>
        <color rgb="FFFFC000"/>
      </colorScale>
    </cfRule>
  </conditionalFormatting>
  <conditionalFormatting sqref="E70">
    <cfRule type="colorScale" priority="37">
      <colorScale>
        <cfvo type="num" val="0"/>
        <cfvo type="num" val="1"/>
        <color rgb="FF00B050"/>
        <color rgb="FFFFC000"/>
      </colorScale>
    </cfRule>
    <cfRule type="colorScale" priority="38">
      <colorScale>
        <cfvo type="num" val="0"/>
        <cfvo type="num" val="1"/>
        <color rgb="FF00B050"/>
        <color rgb="FFFFC000"/>
      </colorScale>
    </cfRule>
  </conditionalFormatting>
  <conditionalFormatting sqref="E73:E74">
    <cfRule type="colorScale" priority="2">
      <colorScale>
        <cfvo type="num" val="0"/>
        <cfvo type="num" val="1"/>
        <color rgb="FF00B050"/>
        <color rgb="FFFFC000"/>
      </colorScale>
    </cfRule>
    <cfRule type="colorScale" priority="1">
      <colorScale>
        <cfvo type="num" val="0"/>
        <cfvo type="num" val="1"/>
        <color rgb="FF00B050"/>
        <color rgb="FFFFC000"/>
      </colorScale>
    </cfRule>
  </conditionalFormatting>
  <conditionalFormatting sqref="E75">
    <cfRule type="colorScale" priority="29">
      <colorScale>
        <cfvo type="num" val="0"/>
        <cfvo type="num" val="1"/>
        <color rgb="FF00B050"/>
        <color rgb="FFFFC000"/>
      </colorScale>
    </cfRule>
    <cfRule type="colorScale" priority="30">
      <colorScale>
        <cfvo type="num" val="0"/>
        <cfvo type="num" val="1"/>
        <color rgb="FF00B050"/>
        <color rgb="FFFFC000"/>
      </colorScale>
    </cfRule>
  </conditionalFormatting>
  <conditionalFormatting sqref="E76">
    <cfRule type="colorScale" priority="28">
      <colorScale>
        <cfvo type="num" val="0"/>
        <cfvo type="num" val="1"/>
        <color rgb="FF00B050"/>
        <color rgb="FFFFC000"/>
      </colorScale>
    </cfRule>
    <cfRule type="colorScale" priority="27">
      <colorScale>
        <cfvo type="num" val="0"/>
        <cfvo type="num" val="1"/>
        <color rgb="FF00B050"/>
        <color rgb="FFFFC000"/>
      </colorScale>
    </cfRule>
  </conditionalFormatting>
  <conditionalFormatting sqref="E77">
    <cfRule type="colorScale" priority="25">
      <colorScale>
        <cfvo type="num" val="0"/>
        <cfvo type="num" val="1"/>
        <color rgb="FF00B050"/>
        <color rgb="FFFFC000"/>
      </colorScale>
    </cfRule>
    <cfRule type="colorScale" priority="26">
      <colorScale>
        <cfvo type="num" val="0"/>
        <cfvo type="num" val="1"/>
        <color rgb="FF00B050"/>
        <color rgb="FFFFC000"/>
      </colorScale>
    </cfRule>
  </conditionalFormatting>
  <conditionalFormatting sqref="E78">
    <cfRule type="colorScale" priority="23">
      <colorScale>
        <cfvo type="num" val="0"/>
        <cfvo type="num" val="1"/>
        <color rgb="FF00B050"/>
        <color rgb="FFFFC000"/>
      </colorScale>
    </cfRule>
    <cfRule type="colorScale" priority="24">
      <colorScale>
        <cfvo type="num" val="0"/>
        <cfvo type="num" val="1"/>
        <color rgb="FF00B050"/>
        <color rgb="FFFFC000"/>
      </colorScale>
    </cfRule>
  </conditionalFormatting>
  <conditionalFormatting sqref="E79:E80">
    <cfRule type="colorScale" priority="21">
      <colorScale>
        <cfvo type="num" val="0"/>
        <cfvo type="num" val="1"/>
        <color rgb="FF00B050"/>
        <color rgb="FFFFC000"/>
      </colorScale>
    </cfRule>
    <cfRule type="colorScale" priority="22">
      <colorScale>
        <cfvo type="num" val="0"/>
        <cfvo type="num" val="1"/>
        <color rgb="FF00B050"/>
        <color rgb="FFFFC000"/>
      </colorScale>
    </cfRule>
  </conditionalFormatting>
  <conditionalFormatting sqref="E14:F14 E19 F16:F24 E24">
    <cfRule type="colorScale" priority="69">
      <colorScale>
        <cfvo type="num" val="0"/>
        <cfvo type="num" val="1"/>
        <color rgb="FF00B050"/>
        <color rgb="FFFFC000"/>
      </colorScale>
    </cfRule>
  </conditionalFormatting>
  <conditionalFormatting sqref="E16:F19 E21:F24 E11:F14">
    <cfRule type="colorScale" priority="68">
      <colorScale>
        <cfvo type="num" val="0"/>
        <cfvo type="num" val="1"/>
        <color rgb="FF00B050"/>
        <color rgb="FFFFC000"/>
      </colorScale>
    </cfRule>
  </conditionalFormatting>
  <conditionalFormatting sqref="E27:F30 E67:F69 F70 E71">
    <cfRule type="colorScale" priority="67">
      <colorScale>
        <cfvo type="num" val="0"/>
        <cfvo type="num" val="1"/>
        <color rgb="FF00B050"/>
        <color rgb="FFFFC000"/>
      </colorScale>
    </cfRule>
    <cfRule type="colorScale" priority="66">
      <colorScale>
        <cfvo type="num" val="0"/>
        <cfvo type="num" val="1"/>
        <color rgb="FF00B050"/>
        <color rgb="FFFFC000"/>
      </colorScale>
    </cfRule>
  </conditionalFormatting>
  <conditionalFormatting sqref="E33:F40">
    <cfRule type="colorScale" priority="65">
      <colorScale>
        <cfvo type="num" val="0"/>
        <cfvo type="num" val="1"/>
        <color rgb="FF00B050"/>
        <color rgb="FFFFC000"/>
      </colorScale>
    </cfRule>
    <cfRule type="colorScale" priority="64">
      <colorScale>
        <cfvo type="num" val="0"/>
        <cfvo type="num" val="1"/>
        <color rgb="FF00B050"/>
        <color rgb="FFFFC000"/>
      </colorScale>
    </cfRule>
  </conditionalFormatting>
  <conditionalFormatting sqref="E43:F64 E25">
    <cfRule type="colorScale" priority="41">
      <colorScale>
        <cfvo type="num" val="0"/>
        <cfvo type="num" val="1"/>
        <color rgb="FF00B050"/>
        <color rgb="FFFFC000"/>
      </colorScale>
    </cfRule>
    <cfRule type="colorScale" priority="42">
      <colorScale>
        <cfvo type="num" val="0"/>
        <cfvo type="num" val="1"/>
        <color rgb="FF00B050"/>
        <color rgb="FFFFC000"/>
      </colorScale>
    </cfRule>
  </conditionalFormatting>
  <conditionalFormatting sqref="E81:F83">
    <cfRule type="colorScale" priority="59">
      <colorScale>
        <cfvo type="num" val="0"/>
        <cfvo type="num" val="1"/>
        <color rgb="FF00B050"/>
        <color rgb="FFFFC000"/>
      </colorScale>
    </cfRule>
    <cfRule type="colorScale" priority="58">
      <colorScale>
        <cfvo type="num" val="0"/>
        <cfvo type="num" val="1"/>
        <color rgb="FF00B050"/>
        <color rgb="FFFFC000"/>
      </colorScale>
    </cfRule>
  </conditionalFormatting>
  <conditionalFormatting sqref="F20">
    <cfRule type="colorScale" priority="57">
      <colorScale>
        <cfvo type="num" val="0"/>
        <cfvo type="num" val="1"/>
        <color rgb="FF00B050"/>
        <color rgb="FFFFC000"/>
      </colorScale>
    </cfRule>
  </conditionalFormatting>
  <conditionalFormatting sqref="F25">
    <cfRule type="colorScale" priority="39">
      <colorScale>
        <cfvo type="num" val="0"/>
        <cfvo type="num" val="1"/>
        <color rgb="FF00B050"/>
        <color rgb="FFFFC000"/>
      </colorScale>
    </cfRule>
    <cfRule type="colorScale" priority="40">
      <colorScale>
        <cfvo type="num" val="0"/>
        <cfvo type="num" val="1"/>
        <color rgb="FF00B050"/>
        <color rgb="FFFFC000"/>
      </colorScale>
    </cfRule>
  </conditionalFormatting>
  <conditionalFormatting sqref="F31">
    <cfRule type="colorScale" priority="43">
      <colorScale>
        <cfvo type="num" val="0"/>
        <cfvo type="num" val="1"/>
        <color rgb="FF00B050"/>
        <color rgb="FFFFC000"/>
      </colorScale>
    </cfRule>
    <cfRule type="colorScale" priority="44">
      <colorScale>
        <cfvo type="num" val="0"/>
        <cfvo type="num" val="1"/>
        <color rgb="FF00B050"/>
        <color rgb="FFFFC000"/>
      </colorScale>
    </cfRule>
  </conditionalFormatting>
  <conditionalFormatting sqref="F41">
    <cfRule type="colorScale" priority="47">
      <colorScale>
        <cfvo type="num" val="0"/>
        <cfvo type="num" val="1"/>
        <color rgb="FF00B050"/>
        <color rgb="FFFFC000"/>
      </colorScale>
    </cfRule>
    <cfRule type="colorScale" priority="48">
      <colorScale>
        <cfvo type="num" val="0"/>
        <cfvo type="num" val="1"/>
        <color rgb="FF00B050"/>
        <color rgb="FFFFC000"/>
      </colorScale>
    </cfRule>
  </conditionalFormatting>
  <conditionalFormatting sqref="F65">
    <cfRule type="colorScale" priority="51">
      <colorScale>
        <cfvo type="num" val="0"/>
        <cfvo type="num" val="1"/>
        <color rgb="FF00B050"/>
        <color rgb="FFFFC000"/>
      </colorScale>
    </cfRule>
    <cfRule type="colorScale" priority="52">
      <colorScale>
        <cfvo type="num" val="0"/>
        <cfvo type="num" val="1"/>
        <color rgb="FF00B050"/>
        <color rgb="FFFFC000"/>
      </colorScale>
    </cfRule>
  </conditionalFormatting>
  <conditionalFormatting sqref="F71">
    <cfRule type="colorScale" priority="36">
      <colorScale>
        <cfvo type="num" val="0"/>
        <cfvo type="num" val="1"/>
        <color rgb="FF00B050"/>
        <color rgb="FFFFC000"/>
      </colorScale>
    </cfRule>
    <cfRule type="colorScale" priority="35">
      <colorScale>
        <cfvo type="num" val="0"/>
        <cfvo type="num" val="1"/>
        <color rgb="FF00B050"/>
        <color rgb="FFFFC000"/>
      </colorScale>
    </cfRule>
  </conditionalFormatting>
  <conditionalFormatting sqref="F73:F74">
    <cfRule type="colorScale" priority="4">
      <colorScale>
        <cfvo type="num" val="0"/>
        <cfvo type="num" val="1"/>
        <color rgb="FF00B050"/>
        <color rgb="FFFFC000"/>
      </colorScale>
    </cfRule>
    <cfRule type="colorScale" priority="3">
      <colorScale>
        <cfvo type="num" val="0"/>
        <cfvo type="num" val="1"/>
        <color rgb="FF00B050"/>
        <color rgb="FFFFC000"/>
      </colorScale>
    </cfRule>
  </conditionalFormatting>
  <conditionalFormatting sqref="F75">
    <cfRule type="colorScale" priority="7">
      <colorScale>
        <cfvo type="num" val="0"/>
        <cfvo type="num" val="1"/>
        <color rgb="FF00B050"/>
        <color rgb="FFFFC000"/>
      </colorScale>
    </cfRule>
    <cfRule type="colorScale" priority="8">
      <colorScale>
        <cfvo type="num" val="0"/>
        <cfvo type="num" val="1"/>
        <color rgb="FF00B050"/>
        <color rgb="FFFFC000"/>
      </colorScale>
    </cfRule>
  </conditionalFormatting>
  <conditionalFormatting sqref="F76">
    <cfRule type="colorScale" priority="9">
      <colorScale>
        <cfvo type="num" val="0"/>
        <cfvo type="num" val="1"/>
        <color rgb="FF00B050"/>
        <color rgb="FFFFC000"/>
      </colorScale>
    </cfRule>
    <cfRule type="colorScale" priority="10">
      <colorScale>
        <cfvo type="num" val="0"/>
        <cfvo type="num" val="1"/>
        <color rgb="FF00B050"/>
        <color rgb="FFFFC000"/>
      </colorScale>
    </cfRule>
  </conditionalFormatting>
  <conditionalFormatting sqref="F77">
    <cfRule type="colorScale" priority="12">
      <colorScale>
        <cfvo type="num" val="0"/>
        <cfvo type="num" val="1"/>
        <color rgb="FF00B050"/>
        <color rgb="FFFFC000"/>
      </colorScale>
    </cfRule>
    <cfRule type="colorScale" priority="11">
      <colorScale>
        <cfvo type="num" val="0"/>
        <cfvo type="num" val="1"/>
        <color rgb="FF00B050"/>
        <color rgb="FFFFC000"/>
      </colorScale>
    </cfRule>
  </conditionalFormatting>
  <conditionalFormatting sqref="F78">
    <cfRule type="colorScale" priority="14">
      <colorScale>
        <cfvo type="num" val="0"/>
        <cfvo type="num" val="1"/>
        <color rgb="FF00B050"/>
        <color rgb="FFFFC000"/>
      </colorScale>
    </cfRule>
    <cfRule type="colorScale" priority="13">
      <colorScale>
        <cfvo type="num" val="0"/>
        <cfvo type="num" val="1"/>
        <color rgb="FF00B050"/>
        <color rgb="FFFFC000"/>
      </colorScale>
    </cfRule>
  </conditionalFormatting>
  <conditionalFormatting sqref="F79:F80">
    <cfRule type="colorScale" priority="15">
      <colorScale>
        <cfvo type="num" val="0"/>
        <cfvo type="num" val="1"/>
        <color rgb="FF00B050"/>
        <color rgb="FFFFC000"/>
      </colorScale>
    </cfRule>
    <cfRule type="colorScale" priority="16">
      <colorScale>
        <cfvo type="num" val="0"/>
        <cfvo type="num" val="1"/>
        <color rgb="FF00B050"/>
        <color rgb="FFFFC000"/>
      </colorScale>
    </cfRule>
  </conditionalFormatting>
  <conditionalFormatting sqref="H96">
    <cfRule type="iconSet" priority="107">
      <iconSet iconSet="4Arrows">
        <cfvo type="percent" val="0"/>
        <cfvo type="num" val="-0.1"/>
        <cfvo type="num" val="0"/>
        <cfvo type="num" val="0.1"/>
      </iconSet>
    </cfRule>
  </conditionalFormatting>
  <conditionalFormatting sqref="H101">
    <cfRule type="colorScale" priority="124">
      <colorScale>
        <cfvo type="num" val="-0.1"/>
        <cfvo type="num" val="0"/>
        <cfvo type="num" val="0.1"/>
        <color rgb="FFF8696B"/>
        <color rgb="FFFFEB84"/>
        <color rgb="FF63BE7B"/>
      </colorScale>
    </cfRule>
  </conditionalFormatting>
  <conditionalFormatting sqref="H103">
    <cfRule type="colorScale" priority="116">
      <colorScale>
        <cfvo type="num" val="-0.1"/>
        <cfvo type="num" val="0"/>
        <cfvo type="num" val="0.1"/>
        <color rgb="FFF8696B"/>
        <color rgb="FFFFEB84"/>
        <color rgb="FF63BE7B"/>
      </colorScale>
    </cfRule>
  </conditionalFormatting>
  <conditionalFormatting sqref="H98:I98 K98:L98">
    <cfRule type="iconSet" priority="103">
      <iconSet iconSet="4Arrows">
        <cfvo type="percent" val="0"/>
        <cfvo type="num" val="-0.1"/>
        <cfvo type="num" val="0"/>
        <cfvo type="num" val="0.1"/>
      </iconSet>
    </cfRule>
  </conditionalFormatting>
  <conditionalFormatting sqref="H109:L110">
    <cfRule type="cellIs" dxfId="16" priority="95" stopIfTrue="1" operator="lessThanOrEqual">
      <formula>2000</formula>
    </cfRule>
    <cfRule type="cellIs" dxfId="15" priority="97" stopIfTrue="1" operator="greaterThan">
      <formula>228</formula>
    </cfRule>
    <cfRule type="cellIs" dxfId="14" priority="96" stopIfTrue="1" operator="between">
      <formula>143.001</formula>
      <formula>228</formula>
    </cfRule>
  </conditionalFormatting>
  <conditionalFormatting sqref="I96 K96:L96">
    <cfRule type="iconSet" priority="106">
      <iconSet iconSet="4Arrows">
        <cfvo type="percent" val="0"/>
        <cfvo type="num" val="-0.1"/>
        <cfvo type="num" val="0"/>
        <cfvo type="num" val="0.1"/>
      </iconSet>
    </cfRule>
  </conditionalFormatting>
  <conditionalFormatting sqref="I101">
    <cfRule type="colorScale" priority="121">
      <colorScale>
        <cfvo type="num" val="-0.1"/>
        <cfvo type="num" val="0"/>
        <cfvo type="num" val="0.1"/>
        <color rgb="FFF8696B"/>
        <color rgb="FFFFEB84"/>
        <color rgb="FF63BE7B"/>
      </colorScale>
    </cfRule>
  </conditionalFormatting>
  <conditionalFormatting sqref="I103">
    <cfRule type="colorScale" priority="115">
      <colorScale>
        <cfvo type="num" val="-0.1"/>
        <cfvo type="num" val="0"/>
        <cfvo type="num" val="0.1"/>
        <color rgb="FFF8696B"/>
        <color rgb="FFFFEB84"/>
        <color rgb="FF63BE7B"/>
      </colorScale>
    </cfRule>
  </conditionalFormatting>
  <conditionalFormatting sqref="J96">
    <cfRule type="iconSet" priority="92">
      <iconSet iconSet="4Arrows">
        <cfvo type="percent" val="0"/>
        <cfvo type="num" val="-0.1"/>
        <cfvo type="num" val="0"/>
        <cfvo type="num" val="0.1"/>
      </iconSet>
    </cfRule>
  </conditionalFormatting>
  <conditionalFormatting sqref="J98">
    <cfRule type="iconSet" priority="91">
      <iconSet iconSet="4Arrows">
        <cfvo type="percent" val="0"/>
        <cfvo type="num" val="-0.1"/>
        <cfvo type="num" val="0"/>
        <cfvo type="num" val="0.1"/>
      </iconSet>
    </cfRule>
  </conditionalFormatting>
  <conditionalFormatting sqref="J101">
    <cfRule type="colorScale" priority="94">
      <colorScale>
        <cfvo type="num" val="-0.1"/>
        <cfvo type="num" val="0"/>
        <cfvo type="num" val="0.1"/>
        <color rgb="FFF8696B"/>
        <color rgb="FFFFEB84"/>
        <color rgb="FF63BE7B"/>
      </colorScale>
    </cfRule>
  </conditionalFormatting>
  <conditionalFormatting sqref="J103">
    <cfRule type="colorScale" priority="93">
      <colorScale>
        <cfvo type="num" val="-0.1"/>
        <cfvo type="num" val="0"/>
        <cfvo type="num" val="0.1"/>
        <color rgb="FFF8696B"/>
        <color rgb="FFFFEB84"/>
        <color rgb="FF63BE7B"/>
      </colorScale>
    </cfRule>
  </conditionalFormatting>
  <conditionalFormatting sqref="K101">
    <cfRule type="colorScale" priority="125">
      <colorScale>
        <cfvo type="num" val="-0.1"/>
        <cfvo type="num" val="0"/>
        <cfvo type="num" val="0.1"/>
        <color rgb="FFF8696B"/>
        <color rgb="FFFFEB84"/>
        <color rgb="FF63BE7B"/>
      </colorScale>
    </cfRule>
  </conditionalFormatting>
  <conditionalFormatting sqref="K103">
    <cfRule type="colorScale" priority="117">
      <colorScale>
        <cfvo type="num" val="-0.1"/>
        <cfvo type="num" val="0"/>
        <cfvo type="num" val="0.1"/>
        <color rgb="FFF8696B"/>
        <color rgb="FFFFEB84"/>
        <color rgb="FF63BE7B"/>
      </colorScale>
    </cfRule>
  </conditionalFormatting>
  <conditionalFormatting sqref="L101">
    <cfRule type="colorScale" priority="129">
      <colorScale>
        <cfvo type="num" val="-0.1"/>
        <cfvo type="num" val="0"/>
        <cfvo type="num" val="0.1"/>
        <color rgb="FFF8696B"/>
        <color rgb="FFFFEB84"/>
        <color rgb="FF63BE7B"/>
      </colorScale>
    </cfRule>
  </conditionalFormatting>
  <conditionalFormatting sqref="L103">
    <cfRule type="colorScale" priority="118">
      <colorScale>
        <cfvo type="num" val="-0.1"/>
        <cfvo type="num" val="0"/>
        <cfvo type="num" val="0.1"/>
        <color rgb="FFF8696B"/>
        <color rgb="FFFFEB84"/>
        <color rgb="FF63BE7B"/>
      </colorScale>
    </cfRule>
  </conditionalFormatting>
  <conditionalFormatting sqref="N101">
    <cfRule type="colorScale" priority="128">
      <colorScale>
        <cfvo type="num" val="-0.1"/>
        <cfvo type="num" val="0"/>
        <cfvo type="num" val="0.1"/>
        <color rgb="FFF8696B"/>
        <color rgb="FFFFEB84"/>
        <color rgb="FF63BE7B"/>
      </colorScale>
    </cfRule>
  </conditionalFormatting>
  <conditionalFormatting sqref="N103">
    <cfRule type="colorScale" priority="114">
      <colorScale>
        <cfvo type="num" val="-0.1"/>
        <cfvo type="num" val="0"/>
        <cfvo type="num" val="0.1"/>
        <color rgb="FFF8696B"/>
        <color rgb="FFFFEB84"/>
        <color rgb="FF63BE7B"/>
      </colorScale>
    </cfRule>
  </conditionalFormatting>
  <conditionalFormatting sqref="N96:O96 Q96:R96">
    <cfRule type="iconSet" priority="105">
      <iconSet iconSet="4Arrows">
        <cfvo type="percent" val="0"/>
        <cfvo type="num" val="-0.1"/>
        <cfvo type="num" val="0"/>
        <cfvo type="num" val="0.1"/>
      </iconSet>
    </cfRule>
  </conditionalFormatting>
  <conditionalFormatting sqref="N98:O98 Q98:R98">
    <cfRule type="iconSet" priority="102">
      <iconSet iconSet="4Arrows">
        <cfvo type="percent" val="0"/>
        <cfvo type="num" val="-0.1"/>
        <cfvo type="num" val="0"/>
        <cfvo type="num" val="0.1"/>
      </iconSet>
    </cfRule>
  </conditionalFormatting>
  <conditionalFormatting sqref="N109:R110">
    <cfRule type="cellIs" dxfId="13" priority="86" stopIfTrue="1" operator="between">
      <formula>143.001</formula>
      <formula>228</formula>
    </cfRule>
    <cfRule type="cellIs" dxfId="12" priority="87" stopIfTrue="1" operator="greaterThan">
      <formula>228</formula>
    </cfRule>
    <cfRule type="cellIs" dxfId="11" priority="85" stopIfTrue="1" operator="lessThanOrEqual">
      <formula>2000</formula>
    </cfRule>
  </conditionalFormatting>
  <conditionalFormatting sqref="O101">
    <cfRule type="colorScale" priority="120">
      <colorScale>
        <cfvo type="num" val="-0.1"/>
        <cfvo type="num" val="0"/>
        <cfvo type="num" val="0.1"/>
        <color rgb="FFF8696B"/>
        <color rgb="FFFFEB84"/>
        <color rgb="FF63BE7B"/>
      </colorScale>
    </cfRule>
  </conditionalFormatting>
  <conditionalFormatting sqref="O103">
    <cfRule type="colorScale" priority="111">
      <colorScale>
        <cfvo type="num" val="-0.1"/>
        <cfvo type="num" val="0"/>
        <cfvo type="num" val="0.1"/>
        <color rgb="FFF8696B"/>
        <color rgb="FFFFEB84"/>
        <color rgb="FF63BE7B"/>
      </colorScale>
    </cfRule>
  </conditionalFormatting>
  <conditionalFormatting sqref="P96">
    <cfRule type="iconSet" priority="82">
      <iconSet iconSet="4Arrows">
        <cfvo type="percent" val="0"/>
        <cfvo type="num" val="-0.1"/>
        <cfvo type="num" val="0"/>
        <cfvo type="num" val="0.1"/>
      </iconSet>
    </cfRule>
  </conditionalFormatting>
  <conditionalFormatting sqref="P98">
    <cfRule type="iconSet" priority="81">
      <iconSet iconSet="4Arrows">
        <cfvo type="percent" val="0"/>
        <cfvo type="num" val="-0.1"/>
        <cfvo type="num" val="0"/>
        <cfvo type="num" val="0.1"/>
      </iconSet>
    </cfRule>
  </conditionalFormatting>
  <conditionalFormatting sqref="P101">
    <cfRule type="colorScale" priority="84">
      <colorScale>
        <cfvo type="num" val="-0.1"/>
        <cfvo type="num" val="0"/>
        <cfvo type="num" val="0.1"/>
        <color rgb="FFF8696B"/>
        <color rgb="FFFFEB84"/>
        <color rgb="FF63BE7B"/>
      </colorScale>
    </cfRule>
  </conditionalFormatting>
  <conditionalFormatting sqref="P103">
    <cfRule type="colorScale" priority="83">
      <colorScale>
        <cfvo type="num" val="-0.1"/>
        <cfvo type="num" val="0"/>
        <cfvo type="num" val="0.1"/>
        <color rgb="FFF8696B"/>
        <color rgb="FFFFEB84"/>
        <color rgb="FF63BE7B"/>
      </colorScale>
    </cfRule>
  </conditionalFormatting>
  <conditionalFormatting sqref="Q101">
    <cfRule type="colorScale" priority="127">
      <colorScale>
        <cfvo type="num" val="-0.1"/>
        <cfvo type="num" val="0"/>
        <cfvo type="num" val="0.1"/>
        <color rgb="FFF8696B"/>
        <color rgb="FFFFEB84"/>
        <color rgb="FF63BE7B"/>
      </colorScale>
    </cfRule>
  </conditionalFormatting>
  <conditionalFormatting sqref="Q103">
    <cfRule type="colorScale" priority="113">
      <colorScale>
        <cfvo type="num" val="-0.1"/>
        <cfvo type="num" val="0"/>
        <cfvo type="num" val="0.1"/>
        <color rgb="FFF8696B"/>
        <color rgb="FFFFEB84"/>
        <color rgb="FF63BE7B"/>
      </colorScale>
    </cfRule>
  </conditionalFormatting>
  <conditionalFormatting sqref="R101">
    <cfRule type="colorScale" priority="126">
      <colorScale>
        <cfvo type="num" val="-0.1"/>
        <cfvo type="num" val="0"/>
        <cfvo type="num" val="0.1"/>
        <color rgb="FFF8696B"/>
        <color rgb="FFFFEB84"/>
        <color rgb="FF63BE7B"/>
      </colorScale>
    </cfRule>
  </conditionalFormatting>
  <conditionalFormatting sqref="R103">
    <cfRule type="colorScale" priority="112">
      <colorScale>
        <cfvo type="num" val="-0.1"/>
        <cfvo type="num" val="0"/>
        <cfvo type="num" val="0.1"/>
        <color rgb="FFF8696B"/>
        <color rgb="FFFFEB84"/>
        <color rgb="FF63BE7B"/>
      </colorScale>
    </cfRule>
  </conditionalFormatting>
  <conditionalFormatting sqref="T101">
    <cfRule type="colorScale" priority="123">
      <colorScale>
        <cfvo type="num" val="-0.1"/>
        <cfvo type="num" val="0"/>
        <cfvo type="num" val="0.1"/>
        <color rgb="FFF8696B"/>
        <color rgb="FFFFEB84"/>
        <color rgb="FF63BE7B"/>
      </colorScale>
    </cfRule>
  </conditionalFormatting>
  <conditionalFormatting sqref="T103">
    <cfRule type="colorScale" priority="110">
      <colorScale>
        <cfvo type="num" val="-0.1"/>
        <cfvo type="num" val="0"/>
        <cfvo type="num" val="0.1"/>
        <color rgb="FFF8696B"/>
        <color rgb="FFFFEB84"/>
        <color rgb="FF63BE7B"/>
      </colorScale>
    </cfRule>
  </conditionalFormatting>
  <conditionalFormatting sqref="T96:U96 W96:X96">
    <cfRule type="iconSet" priority="104">
      <iconSet iconSet="4Arrows">
        <cfvo type="percent" val="0"/>
        <cfvo type="num" val="-0.1"/>
        <cfvo type="num" val="0"/>
        <cfvo type="num" val="0.1"/>
      </iconSet>
    </cfRule>
  </conditionalFormatting>
  <conditionalFormatting sqref="T98:U98 W98:X98">
    <cfRule type="iconSet" priority="101">
      <iconSet iconSet="4Arrows">
        <cfvo type="percent" val="0"/>
        <cfvo type="num" val="-0.1"/>
        <cfvo type="num" val="0"/>
        <cfvo type="num" val="0.1"/>
      </iconSet>
    </cfRule>
  </conditionalFormatting>
  <conditionalFormatting sqref="T109:X110">
    <cfRule type="cellIs" dxfId="10" priority="75" stopIfTrue="1" operator="lessThanOrEqual">
      <formula>2000</formula>
    </cfRule>
    <cfRule type="cellIs" dxfId="9" priority="77" stopIfTrue="1" operator="greaterThan">
      <formula>228</formula>
    </cfRule>
    <cfRule type="cellIs" dxfId="8" priority="76" stopIfTrue="1" operator="between">
      <formula>143.001</formula>
      <formula>228</formula>
    </cfRule>
  </conditionalFormatting>
  <conditionalFormatting sqref="U101">
    <cfRule type="colorScale" priority="119">
      <colorScale>
        <cfvo type="num" val="-0.1"/>
        <cfvo type="num" val="0"/>
        <cfvo type="num" val="0.1"/>
        <color rgb="FFF8696B"/>
        <color rgb="FFFFEB84"/>
        <color rgb="FF63BE7B"/>
      </colorScale>
    </cfRule>
  </conditionalFormatting>
  <conditionalFormatting sqref="U103">
    <cfRule type="colorScale" priority="108">
      <colorScale>
        <cfvo type="num" val="-0.1"/>
        <cfvo type="num" val="0"/>
        <cfvo type="num" val="0.1"/>
        <color rgb="FFF8696B"/>
        <color rgb="FFFFEB84"/>
        <color rgb="FF63BE7B"/>
      </colorScale>
    </cfRule>
  </conditionalFormatting>
  <conditionalFormatting sqref="V96">
    <cfRule type="iconSet" priority="72">
      <iconSet iconSet="4Arrows">
        <cfvo type="percent" val="0"/>
        <cfvo type="num" val="-0.1"/>
        <cfvo type="num" val="0"/>
        <cfvo type="num" val="0.1"/>
      </iconSet>
    </cfRule>
  </conditionalFormatting>
  <conditionalFormatting sqref="V98">
    <cfRule type="iconSet" priority="71">
      <iconSet iconSet="4Arrows">
        <cfvo type="percent" val="0"/>
        <cfvo type="num" val="-0.1"/>
        <cfvo type="num" val="0"/>
        <cfvo type="num" val="0.1"/>
      </iconSet>
    </cfRule>
  </conditionalFormatting>
  <conditionalFormatting sqref="V101">
    <cfRule type="colorScale" priority="74">
      <colorScale>
        <cfvo type="num" val="-0.1"/>
        <cfvo type="num" val="0"/>
        <cfvo type="num" val="0.1"/>
        <color rgb="FFF8696B"/>
        <color rgb="FFFFEB84"/>
        <color rgb="FF63BE7B"/>
      </colorScale>
    </cfRule>
  </conditionalFormatting>
  <conditionalFormatting sqref="V103">
    <cfRule type="colorScale" priority="73">
      <colorScale>
        <cfvo type="num" val="-0.1"/>
        <cfvo type="num" val="0"/>
        <cfvo type="num" val="0.1"/>
        <color rgb="FFF8696B"/>
        <color rgb="FFFFEB84"/>
        <color rgb="FF63BE7B"/>
      </colorScale>
    </cfRule>
  </conditionalFormatting>
  <conditionalFormatting sqref="W101:X101">
    <cfRule type="colorScale" priority="122">
      <colorScale>
        <cfvo type="num" val="-0.1"/>
        <cfvo type="num" val="0"/>
        <cfvo type="num" val="0.1"/>
        <color rgb="FFF8696B"/>
        <color rgb="FFFFEB84"/>
        <color rgb="FF63BE7B"/>
      </colorScale>
    </cfRule>
  </conditionalFormatting>
  <conditionalFormatting sqref="W103:X103">
    <cfRule type="colorScale" priority="109">
      <colorScale>
        <cfvo type="num" val="-0.1"/>
        <cfvo type="num" val="0"/>
        <cfvo type="num" val="0.1"/>
        <color rgb="FFF8696B"/>
        <color rgb="FFFFEB84"/>
        <color rgb="FF63BE7B"/>
      </colorScale>
    </cfRule>
  </conditionalFormatting>
  <pageMargins left="0.70866141732283472" right="0.70866141732283472" top="0.74803149606299213" bottom="0.74803149606299213" header="0.31496062992125984" footer="0.31496062992125984"/>
  <pageSetup paperSize="8" scale="76" orientation="landscape" r:id="rId1"/>
  <headerFooter>
    <oddFooter>&amp;R_x000D_&amp;1#&amp;"Arial"&amp;10&amp;K000000 Confidential 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67F9-B003-4B70-95E5-E1F5D480C246}">
  <dimension ref="A2:N15"/>
  <sheetViews>
    <sheetView topLeftCell="A3" zoomScale="120" zoomScaleNormal="120" workbookViewId="0">
      <selection activeCell="D30" sqref="D30"/>
    </sheetView>
  </sheetViews>
  <sheetFormatPr baseColWidth="10" defaultColWidth="8.81640625" defaultRowHeight="12.5" x14ac:dyDescent="0.25"/>
  <cols>
    <col min="1" max="4" width="16.26953125" style="165" customWidth="1"/>
    <col min="5" max="5" width="3.1796875" style="165" customWidth="1"/>
    <col min="6" max="9" width="16.26953125" style="165" customWidth="1"/>
    <col min="10" max="10" width="2.7265625" style="165" customWidth="1"/>
    <col min="11" max="14" width="16.1796875" style="165" customWidth="1"/>
    <col min="15" max="256" width="8.81640625" style="165"/>
    <col min="257" max="260" width="16.26953125" style="165" customWidth="1"/>
    <col min="261" max="261" width="3.1796875" style="165" customWidth="1"/>
    <col min="262" max="265" width="16.26953125" style="165" customWidth="1"/>
    <col min="266" max="266" width="2.7265625" style="165" customWidth="1"/>
    <col min="267" max="270" width="16.1796875" style="165" customWidth="1"/>
    <col min="271" max="512" width="8.81640625" style="165"/>
    <col min="513" max="516" width="16.26953125" style="165" customWidth="1"/>
    <col min="517" max="517" width="3.1796875" style="165" customWidth="1"/>
    <col min="518" max="521" width="16.26953125" style="165" customWidth="1"/>
    <col min="522" max="522" width="2.7265625" style="165" customWidth="1"/>
    <col min="523" max="526" width="16.1796875" style="165" customWidth="1"/>
    <col min="527" max="768" width="8.81640625" style="165"/>
    <col min="769" max="772" width="16.26953125" style="165" customWidth="1"/>
    <col min="773" max="773" width="3.1796875" style="165" customWidth="1"/>
    <col min="774" max="777" width="16.26953125" style="165" customWidth="1"/>
    <col min="778" max="778" width="2.7265625" style="165" customWidth="1"/>
    <col min="779" max="782" width="16.1796875" style="165" customWidth="1"/>
    <col min="783" max="1024" width="8.81640625" style="165"/>
    <col min="1025" max="1028" width="16.26953125" style="165" customWidth="1"/>
    <col min="1029" max="1029" width="3.1796875" style="165" customWidth="1"/>
    <col min="1030" max="1033" width="16.26953125" style="165" customWidth="1"/>
    <col min="1034" max="1034" width="2.7265625" style="165" customWidth="1"/>
    <col min="1035" max="1038" width="16.1796875" style="165" customWidth="1"/>
    <col min="1039" max="1280" width="8.81640625" style="165"/>
    <col min="1281" max="1284" width="16.26953125" style="165" customWidth="1"/>
    <col min="1285" max="1285" width="3.1796875" style="165" customWidth="1"/>
    <col min="1286" max="1289" width="16.26953125" style="165" customWidth="1"/>
    <col min="1290" max="1290" width="2.7265625" style="165" customWidth="1"/>
    <col min="1291" max="1294" width="16.1796875" style="165" customWidth="1"/>
    <col min="1295" max="1536" width="8.81640625" style="165"/>
    <col min="1537" max="1540" width="16.26953125" style="165" customWidth="1"/>
    <col min="1541" max="1541" width="3.1796875" style="165" customWidth="1"/>
    <col min="1542" max="1545" width="16.26953125" style="165" customWidth="1"/>
    <col min="1546" max="1546" width="2.7265625" style="165" customWidth="1"/>
    <col min="1547" max="1550" width="16.1796875" style="165" customWidth="1"/>
    <col min="1551" max="1792" width="8.81640625" style="165"/>
    <col min="1793" max="1796" width="16.26953125" style="165" customWidth="1"/>
    <col min="1797" max="1797" width="3.1796875" style="165" customWidth="1"/>
    <col min="1798" max="1801" width="16.26953125" style="165" customWidth="1"/>
    <col min="1802" max="1802" width="2.7265625" style="165" customWidth="1"/>
    <col min="1803" max="1806" width="16.1796875" style="165" customWidth="1"/>
    <col min="1807" max="2048" width="8.81640625" style="165"/>
    <col min="2049" max="2052" width="16.26953125" style="165" customWidth="1"/>
    <col min="2053" max="2053" width="3.1796875" style="165" customWidth="1"/>
    <col min="2054" max="2057" width="16.26953125" style="165" customWidth="1"/>
    <col min="2058" max="2058" width="2.7265625" style="165" customWidth="1"/>
    <col min="2059" max="2062" width="16.1796875" style="165" customWidth="1"/>
    <col min="2063" max="2304" width="8.81640625" style="165"/>
    <col min="2305" max="2308" width="16.26953125" style="165" customWidth="1"/>
    <col min="2309" max="2309" width="3.1796875" style="165" customWidth="1"/>
    <col min="2310" max="2313" width="16.26953125" style="165" customWidth="1"/>
    <col min="2314" max="2314" width="2.7265625" style="165" customWidth="1"/>
    <col min="2315" max="2318" width="16.1796875" style="165" customWidth="1"/>
    <col min="2319" max="2560" width="8.81640625" style="165"/>
    <col min="2561" max="2564" width="16.26953125" style="165" customWidth="1"/>
    <col min="2565" max="2565" width="3.1796875" style="165" customWidth="1"/>
    <col min="2566" max="2569" width="16.26953125" style="165" customWidth="1"/>
    <col min="2570" max="2570" width="2.7265625" style="165" customWidth="1"/>
    <col min="2571" max="2574" width="16.1796875" style="165" customWidth="1"/>
    <col min="2575" max="2816" width="8.81640625" style="165"/>
    <col min="2817" max="2820" width="16.26953125" style="165" customWidth="1"/>
    <col min="2821" max="2821" width="3.1796875" style="165" customWidth="1"/>
    <col min="2822" max="2825" width="16.26953125" style="165" customWidth="1"/>
    <col min="2826" max="2826" width="2.7265625" style="165" customWidth="1"/>
    <col min="2827" max="2830" width="16.1796875" style="165" customWidth="1"/>
    <col min="2831" max="3072" width="8.81640625" style="165"/>
    <col min="3073" max="3076" width="16.26953125" style="165" customWidth="1"/>
    <col min="3077" max="3077" width="3.1796875" style="165" customWidth="1"/>
    <col min="3078" max="3081" width="16.26953125" style="165" customWidth="1"/>
    <col min="3082" max="3082" width="2.7265625" style="165" customWidth="1"/>
    <col min="3083" max="3086" width="16.1796875" style="165" customWidth="1"/>
    <col min="3087" max="3328" width="8.81640625" style="165"/>
    <col min="3329" max="3332" width="16.26953125" style="165" customWidth="1"/>
    <col min="3333" max="3333" width="3.1796875" style="165" customWidth="1"/>
    <col min="3334" max="3337" width="16.26953125" style="165" customWidth="1"/>
    <col min="3338" max="3338" width="2.7265625" style="165" customWidth="1"/>
    <col min="3339" max="3342" width="16.1796875" style="165" customWidth="1"/>
    <col min="3343" max="3584" width="8.81640625" style="165"/>
    <col min="3585" max="3588" width="16.26953125" style="165" customWidth="1"/>
    <col min="3589" max="3589" width="3.1796875" style="165" customWidth="1"/>
    <col min="3590" max="3593" width="16.26953125" style="165" customWidth="1"/>
    <col min="3594" max="3594" width="2.7265625" style="165" customWidth="1"/>
    <col min="3595" max="3598" width="16.1796875" style="165" customWidth="1"/>
    <col min="3599" max="3840" width="8.81640625" style="165"/>
    <col min="3841" max="3844" width="16.26953125" style="165" customWidth="1"/>
    <col min="3845" max="3845" width="3.1796875" style="165" customWidth="1"/>
    <col min="3846" max="3849" width="16.26953125" style="165" customWidth="1"/>
    <col min="3850" max="3850" width="2.7265625" style="165" customWidth="1"/>
    <col min="3851" max="3854" width="16.1796875" style="165" customWidth="1"/>
    <col min="3855" max="4096" width="8.81640625" style="165"/>
    <col min="4097" max="4100" width="16.26953125" style="165" customWidth="1"/>
    <col min="4101" max="4101" width="3.1796875" style="165" customWidth="1"/>
    <col min="4102" max="4105" width="16.26953125" style="165" customWidth="1"/>
    <col min="4106" max="4106" width="2.7265625" style="165" customWidth="1"/>
    <col min="4107" max="4110" width="16.1796875" style="165" customWidth="1"/>
    <col min="4111" max="4352" width="8.81640625" style="165"/>
    <col min="4353" max="4356" width="16.26953125" style="165" customWidth="1"/>
    <col min="4357" max="4357" width="3.1796875" style="165" customWidth="1"/>
    <col min="4358" max="4361" width="16.26953125" style="165" customWidth="1"/>
    <col min="4362" max="4362" width="2.7265625" style="165" customWidth="1"/>
    <col min="4363" max="4366" width="16.1796875" style="165" customWidth="1"/>
    <col min="4367" max="4608" width="8.81640625" style="165"/>
    <col min="4609" max="4612" width="16.26953125" style="165" customWidth="1"/>
    <col min="4613" max="4613" width="3.1796875" style="165" customWidth="1"/>
    <col min="4614" max="4617" width="16.26953125" style="165" customWidth="1"/>
    <col min="4618" max="4618" width="2.7265625" style="165" customWidth="1"/>
    <col min="4619" max="4622" width="16.1796875" style="165" customWidth="1"/>
    <col min="4623" max="4864" width="8.81640625" style="165"/>
    <col min="4865" max="4868" width="16.26953125" style="165" customWidth="1"/>
    <col min="4869" max="4869" width="3.1796875" style="165" customWidth="1"/>
    <col min="4870" max="4873" width="16.26953125" style="165" customWidth="1"/>
    <col min="4874" max="4874" width="2.7265625" style="165" customWidth="1"/>
    <col min="4875" max="4878" width="16.1796875" style="165" customWidth="1"/>
    <col min="4879" max="5120" width="8.81640625" style="165"/>
    <col min="5121" max="5124" width="16.26953125" style="165" customWidth="1"/>
    <col min="5125" max="5125" width="3.1796875" style="165" customWidth="1"/>
    <col min="5126" max="5129" width="16.26953125" style="165" customWidth="1"/>
    <col min="5130" max="5130" width="2.7265625" style="165" customWidth="1"/>
    <col min="5131" max="5134" width="16.1796875" style="165" customWidth="1"/>
    <col min="5135" max="5376" width="8.81640625" style="165"/>
    <col min="5377" max="5380" width="16.26953125" style="165" customWidth="1"/>
    <col min="5381" max="5381" width="3.1796875" style="165" customWidth="1"/>
    <col min="5382" max="5385" width="16.26953125" style="165" customWidth="1"/>
    <col min="5386" max="5386" width="2.7265625" style="165" customWidth="1"/>
    <col min="5387" max="5390" width="16.1796875" style="165" customWidth="1"/>
    <col min="5391" max="5632" width="8.81640625" style="165"/>
    <col min="5633" max="5636" width="16.26953125" style="165" customWidth="1"/>
    <col min="5637" max="5637" width="3.1796875" style="165" customWidth="1"/>
    <col min="5638" max="5641" width="16.26953125" style="165" customWidth="1"/>
    <col min="5642" max="5642" width="2.7265625" style="165" customWidth="1"/>
    <col min="5643" max="5646" width="16.1796875" style="165" customWidth="1"/>
    <col min="5647" max="5888" width="8.81640625" style="165"/>
    <col min="5889" max="5892" width="16.26953125" style="165" customWidth="1"/>
    <col min="5893" max="5893" width="3.1796875" style="165" customWidth="1"/>
    <col min="5894" max="5897" width="16.26953125" style="165" customWidth="1"/>
    <col min="5898" max="5898" width="2.7265625" style="165" customWidth="1"/>
    <col min="5899" max="5902" width="16.1796875" style="165" customWidth="1"/>
    <col min="5903" max="6144" width="8.81640625" style="165"/>
    <col min="6145" max="6148" width="16.26953125" style="165" customWidth="1"/>
    <col min="6149" max="6149" width="3.1796875" style="165" customWidth="1"/>
    <col min="6150" max="6153" width="16.26953125" style="165" customWidth="1"/>
    <col min="6154" max="6154" width="2.7265625" style="165" customWidth="1"/>
    <col min="6155" max="6158" width="16.1796875" style="165" customWidth="1"/>
    <col min="6159" max="6400" width="8.81640625" style="165"/>
    <col min="6401" max="6404" width="16.26953125" style="165" customWidth="1"/>
    <col min="6405" max="6405" width="3.1796875" style="165" customWidth="1"/>
    <col min="6406" max="6409" width="16.26953125" style="165" customWidth="1"/>
    <col min="6410" max="6410" width="2.7265625" style="165" customWidth="1"/>
    <col min="6411" max="6414" width="16.1796875" style="165" customWidth="1"/>
    <col min="6415" max="6656" width="8.81640625" style="165"/>
    <col min="6657" max="6660" width="16.26953125" style="165" customWidth="1"/>
    <col min="6661" max="6661" width="3.1796875" style="165" customWidth="1"/>
    <col min="6662" max="6665" width="16.26953125" style="165" customWidth="1"/>
    <col min="6666" max="6666" width="2.7265625" style="165" customWidth="1"/>
    <col min="6667" max="6670" width="16.1796875" style="165" customWidth="1"/>
    <col min="6671" max="6912" width="8.81640625" style="165"/>
    <col min="6913" max="6916" width="16.26953125" style="165" customWidth="1"/>
    <col min="6917" max="6917" width="3.1796875" style="165" customWidth="1"/>
    <col min="6918" max="6921" width="16.26953125" style="165" customWidth="1"/>
    <col min="6922" max="6922" width="2.7265625" style="165" customWidth="1"/>
    <col min="6923" max="6926" width="16.1796875" style="165" customWidth="1"/>
    <col min="6927" max="7168" width="8.81640625" style="165"/>
    <col min="7169" max="7172" width="16.26953125" style="165" customWidth="1"/>
    <col min="7173" max="7173" width="3.1796875" style="165" customWidth="1"/>
    <col min="7174" max="7177" width="16.26953125" style="165" customWidth="1"/>
    <col min="7178" max="7178" width="2.7265625" style="165" customWidth="1"/>
    <col min="7179" max="7182" width="16.1796875" style="165" customWidth="1"/>
    <col min="7183" max="7424" width="8.81640625" style="165"/>
    <col min="7425" max="7428" width="16.26953125" style="165" customWidth="1"/>
    <col min="7429" max="7429" width="3.1796875" style="165" customWidth="1"/>
    <col min="7430" max="7433" width="16.26953125" style="165" customWidth="1"/>
    <col min="7434" max="7434" width="2.7265625" style="165" customWidth="1"/>
    <col min="7435" max="7438" width="16.1796875" style="165" customWidth="1"/>
    <col min="7439" max="7680" width="8.81640625" style="165"/>
    <col min="7681" max="7684" width="16.26953125" style="165" customWidth="1"/>
    <col min="7685" max="7685" width="3.1796875" style="165" customWidth="1"/>
    <col min="7686" max="7689" width="16.26953125" style="165" customWidth="1"/>
    <col min="7690" max="7690" width="2.7265625" style="165" customWidth="1"/>
    <col min="7691" max="7694" width="16.1796875" style="165" customWidth="1"/>
    <col min="7695" max="7936" width="8.81640625" style="165"/>
    <col min="7937" max="7940" width="16.26953125" style="165" customWidth="1"/>
    <col min="7941" max="7941" width="3.1796875" style="165" customWidth="1"/>
    <col min="7942" max="7945" width="16.26953125" style="165" customWidth="1"/>
    <col min="7946" max="7946" width="2.7265625" style="165" customWidth="1"/>
    <col min="7947" max="7950" width="16.1796875" style="165" customWidth="1"/>
    <col min="7951" max="8192" width="8.81640625" style="165"/>
    <col min="8193" max="8196" width="16.26953125" style="165" customWidth="1"/>
    <col min="8197" max="8197" width="3.1796875" style="165" customWidth="1"/>
    <col min="8198" max="8201" width="16.26953125" style="165" customWidth="1"/>
    <col min="8202" max="8202" width="2.7265625" style="165" customWidth="1"/>
    <col min="8203" max="8206" width="16.1796875" style="165" customWidth="1"/>
    <col min="8207" max="8448" width="8.81640625" style="165"/>
    <col min="8449" max="8452" width="16.26953125" style="165" customWidth="1"/>
    <col min="8453" max="8453" width="3.1796875" style="165" customWidth="1"/>
    <col min="8454" max="8457" width="16.26953125" style="165" customWidth="1"/>
    <col min="8458" max="8458" width="2.7265625" style="165" customWidth="1"/>
    <col min="8459" max="8462" width="16.1796875" style="165" customWidth="1"/>
    <col min="8463" max="8704" width="8.81640625" style="165"/>
    <col min="8705" max="8708" width="16.26953125" style="165" customWidth="1"/>
    <col min="8709" max="8709" width="3.1796875" style="165" customWidth="1"/>
    <col min="8710" max="8713" width="16.26953125" style="165" customWidth="1"/>
    <col min="8714" max="8714" width="2.7265625" style="165" customWidth="1"/>
    <col min="8715" max="8718" width="16.1796875" style="165" customWidth="1"/>
    <col min="8719" max="8960" width="8.81640625" style="165"/>
    <col min="8961" max="8964" width="16.26953125" style="165" customWidth="1"/>
    <col min="8965" max="8965" width="3.1796875" style="165" customWidth="1"/>
    <col min="8966" max="8969" width="16.26953125" style="165" customWidth="1"/>
    <col min="8970" max="8970" width="2.7265625" style="165" customWidth="1"/>
    <col min="8971" max="8974" width="16.1796875" style="165" customWidth="1"/>
    <col min="8975" max="9216" width="8.81640625" style="165"/>
    <col min="9217" max="9220" width="16.26953125" style="165" customWidth="1"/>
    <col min="9221" max="9221" width="3.1796875" style="165" customWidth="1"/>
    <col min="9222" max="9225" width="16.26953125" style="165" customWidth="1"/>
    <col min="9226" max="9226" width="2.7265625" style="165" customWidth="1"/>
    <col min="9227" max="9230" width="16.1796875" style="165" customWidth="1"/>
    <col min="9231" max="9472" width="8.81640625" style="165"/>
    <col min="9473" max="9476" width="16.26953125" style="165" customWidth="1"/>
    <col min="9477" max="9477" width="3.1796875" style="165" customWidth="1"/>
    <col min="9478" max="9481" width="16.26953125" style="165" customWidth="1"/>
    <col min="9482" max="9482" width="2.7265625" style="165" customWidth="1"/>
    <col min="9483" max="9486" width="16.1796875" style="165" customWidth="1"/>
    <col min="9487" max="9728" width="8.81640625" style="165"/>
    <col min="9729" max="9732" width="16.26953125" style="165" customWidth="1"/>
    <col min="9733" max="9733" width="3.1796875" style="165" customWidth="1"/>
    <col min="9734" max="9737" width="16.26953125" style="165" customWidth="1"/>
    <col min="9738" max="9738" width="2.7265625" style="165" customWidth="1"/>
    <col min="9739" max="9742" width="16.1796875" style="165" customWidth="1"/>
    <col min="9743" max="9984" width="8.81640625" style="165"/>
    <col min="9985" max="9988" width="16.26953125" style="165" customWidth="1"/>
    <col min="9989" max="9989" width="3.1796875" style="165" customWidth="1"/>
    <col min="9990" max="9993" width="16.26953125" style="165" customWidth="1"/>
    <col min="9994" max="9994" width="2.7265625" style="165" customWidth="1"/>
    <col min="9995" max="9998" width="16.1796875" style="165" customWidth="1"/>
    <col min="9999" max="10240" width="8.81640625" style="165"/>
    <col min="10241" max="10244" width="16.26953125" style="165" customWidth="1"/>
    <col min="10245" max="10245" width="3.1796875" style="165" customWidth="1"/>
    <col min="10246" max="10249" width="16.26953125" style="165" customWidth="1"/>
    <col min="10250" max="10250" width="2.7265625" style="165" customWidth="1"/>
    <col min="10251" max="10254" width="16.1796875" style="165" customWidth="1"/>
    <col min="10255" max="10496" width="8.81640625" style="165"/>
    <col min="10497" max="10500" width="16.26953125" style="165" customWidth="1"/>
    <col min="10501" max="10501" width="3.1796875" style="165" customWidth="1"/>
    <col min="10502" max="10505" width="16.26953125" style="165" customWidth="1"/>
    <col min="10506" max="10506" width="2.7265625" style="165" customWidth="1"/>
    <col min="10507" max="10510" width="16.1796875" style="165" customWidth="1"/>
    <col min="10511" max="10752" width="8.81640625" style="165"/>
    <col min="10753" max="10756" width="16.26953125" style="165" customWidth="1"/>
    <col min="10757" max="10757" width="3.1796875" style="165" customWidth="1"/>
    <col min="10758" max="10761" width="16.26953125" style="165" customWidth="1"/>
    <col min="10762" max="10762" width="2.7265625" style="165" customWidth="1"/>
    <col min="10763" max="10766" width="16.1796875" style="165" customWidth="1"/>
    <col min="10767" max="11008" width="8.81640625" style="165"/>
    <col min="11009" max="11012" width="16.26953125" style="165" customWidth="1"/>
    <col min="11013" max="11013" width="3.1796875" style="165" customWidth="1"/>
    <col min="11014" max="11017" width="16.26953125" style="165" customWidth="1"/>
    <col min="11018" max="11018" width="2.7265625" style="165" customWidth="1"/>
    <col min="11019" max="11022" width="16.1796875" style="165" customWidth="1"/>
    <col min="11023" max="11264" width="8.81640625" style="165"/>
    <col min="11265" max="11268" width="16.26953125" style="165" customWidth="1"/>
    <col min="11269" max="11269" width="3.1796875" style="165" customWidth="1"/>
    <col min="11270" max="11273" width="16.26953125" style="165" customWidth="1"/>
    <col min="11274" max="11274" width="2.7265625" style="165" customWidth="1"/>
    <col min="11275" max="11278" width="16.1796875" style="165" customWidth="1"/>
    <col min="11279" max="11520" width="8.81640625" style="165"/>
    <col min="11521" max="11524" width="16.26953125" style="165" customWidth="1"/>
    <col min="11525" max="11525" width="3.1796875" style="165" customWidth="1"/>
    <col min="11526" max="11529" width="16.26953125" style="165" customWidth="1"/>
    <col min="11530" max="11530" width="2.7265625" style="165" customWidth="1"/>
    <col min="11531" max="11534" width="16.1796875" style="165" customWidth="1"/>
    <col min="11535" max="11776" width="8.81640625" style="165"/>
    <col min="11777" max="11780" width="16.26953125" style="165" customWidth="1"/>
    <col min="11781" max="11781" width="3.1796875" style="165" customWidth="1"/>
    <col min="11782" max="11785" width="16.26953125" style="165" customWidth="1"/>
    <col min="11786" max="11786" width="2.7265625" style="165" customWidth="1"/>
    <col min="11787" max="11790" width="16.1796875" style="165" customWidth="1"/>
    <col min="11791" max="12032" width="8.81640625" style="165"/>
    <col min="12033" max="12036" width="16.26953125" style="165" customWidth="1"/>
    <col min="12037" max="12037" width="3.1796875" style="165" customWidth="1"/>
    <col min="12038" max="12041" width="16.26953125" style="165" customWidth="1"/>
    <col min="12042" max="12042" width="2.7265625" style="165" customWidth="1"/>
    <col min="12043" max="12046" width="16.1796875" style="165" customWidth="1"/>
    <col min="12047" max="12288" width="8.81640625" style="165"/>
    <col min="12289" max="12292" width="16.26953125" style="165" customWidth="1"/>
    <col min="12293" max="12293" width="3.1796875" style="165" customWidth="1"/>
    <col min="12294" max="12297" width="16.26953125" style="165" customWidth="1"/>
    <col min="12298" max="12298" width="2.7265625" style="165" customWidth="1"/>
    <col min="12299" max="12302" width="16.1796875" style="165" customWidth="1"/>
    <col min="12303" max="12544" width="8.81640625" style="165"/>
    <col min="12545" max="12548" width="16.26953125" style="165" customWidth="1"/>
    <col min="12549" max="12549" width="3.1796875" style="165" customWidth="1"/>
    <col min="12550" max="12553" width="16.26953125" style="165" customWidth="1"/>
    <col min="12554" max="12554" width="2.7265625" style="165" customWidth="1"/>
    <col min="12555" max="12558" width="16.1796875" style="165" customWidth="1"/>
    <col min="12559" max="12800" width="8.81640625" style="165"/>
    <col min="12801" max="12804" width="16.26953125" style="165" customWidth="1"/>
    <col min="12805" max="12805" width="3.1796875" style="165" customWidth="1"/>
    <col min="12806" max="12809" width="16.26953125" style="165" customWidth="1"/>
    <col min="12810" max="12810" width="2.7265625" style="165" customWidth="1"/>
    <col min="12811" max="12814" width="16.1796875" style="165" customWidth="1"/>
    <col min="12815" max="13056" width="8.81640625" style="165"/>
    <col min="13057" max="13060" width="16.26953125" style="165" customWidth="1"/>
    <col min="13061" max="13061" width="3.1796875" style="165" customWidth="1"/>
    <col min="13062" max="13065" width="16.26953125" style="165" customWidth="1"/>
    <col min="13066" max="13066" width="2.7265625" style="165" customWidth="1"/>
    <col min="13067" max="13070" width="16.1796875" style="165" customWidth="1"/>
    <col min="13071" max="13312" width="8.81640625" style="165"/>
    <col min="13313" max="13316" width="16.26953125" style="165" customWidth="1"/>
    <col min="13317" max="13317" width="3.1796875" style="165" customWidth="1"/>
    <col min="13318" max="13321" width="16.26953125" style="165" customWidth="1"/>
    <col min="13322" max="13322" width="2.7265625" style="165" customWidth="1"/>
    <col min="13323" max="13326" width="16.1796875" style="165" customWidth="1"/>
    <col min="13327" max="13568" width="8.81640625" style="165"/>
    <col min="13569" max="13572" width="16.26953125" style="165" customWidth="1"/>
    <col min="13573" max="13573" width="3.1796875" style="165" customWidth="1"/>
    <col min="13574" max="13577" width="16.26953125" style="165" customWidth="1"/>
    <col min="13578" max="13578" width="2.7265625" style="165" customWidth="1"/>
    <col min="13579" max="13582" width="16.1796875" style="165" customWidth="1"/>
    <col min="13583" max="13824" width="8.81640625" style="165"/>
    <col min="13825" max="13828" width="16.26953125" style="165" customWidth="1"/>
    <col min="13829" max="13829" width="3.1796875" style="165" customWidth="1"/>
    <col min="13830" max="13833" width="16.26953125" style="165" customWidth="1"/>
    <col min="13834" max="13834" width="2.7265625" style="165" customWidth="1"/>
    <col min="13835" max="13838" width="16.1796875" style="165" customWidth="1"/>
    <col min="13839" max="14080" width="8.81640625" style="165"/>
    <col min="14081" max="14084" width="16.26953125" style="165" customWidth="1"/>
    <col min="14085" max="14085" width="3.1796875" style="165" customWidth="1"/>
    <col min="14086" max="14089" width="16.26953125" style="165" customWidth="1"/>
    <col min="14090" max="14090" width="2.7265625" style="165" customWidth="1"/>
    <col min="14091" max="14094" width="16.1796875" style="165" customWidth="1"/>
    <col min="14095" max="14336" width="8.81640625" style="165"/>
    <col min="14337" max="14340" width="16.26953125" style="165" customWidth="1"/>
    <col min="14341" max="14341" width="3.1796875" style="165" customWidth="1"/>
    <col min="14342" max="14345" width="16.26953125" style="165" customWidth="1"/>
    <col min="14346" max="14346" width="2.7265625" style="165" customWidth="1"/>
    <col min="14347" max="14350" width="16.1796875" style="165" customWidth="1"/>
    <col min="14351" max="14592" width="8.81640625" style="165"/>
    <col min="14593" max="14596" width="16.26953125" style="165" customWidth="1"/>
    <col min="14597" max="14597" width="3.1796875" style="165" customWidth="1"/>
    <col min="14598" max="14601" width="16.26953125" style="165" customWidth="1"/>
    <col min="14602" max="14602" width="2.7265625" style="165" customWidth="1"/>
    <col min="14603" max="14606" width="16.1796875" style="165" customWidth="1"/>
    <col min="14607" max="14848" width="8.81640625" style="165"/>
    <col min="14849" max="14852" width="16.26953125" style="165" customWidth="1"/>
    <col min="14853" max="14853" width="3.1796875" style="165" customWidth="1"/>
    <col min="14854" max="14857" width="16.26953125" style="165" customWidth="1"/>
    <col min="14858" max="14858" width="2.7265625" style="165" customWidth="1"/>
    <col min="14859" max="14862" width="16.1796875" style="165" customWidth="1"/>
    <col min="14863" max="15104" width="8.81640625" style="165"/>
    <col min="15105" max="15108" width="16.26953125" style="165" customWidth="1"/>
    <col min="15109" max="15109" width="3.1796875" style="165" customWidth="1"/>
    <col min="15110" max="15113" width="16.26953125" style="165" customWidth="1"/>
    <col min="15114" max="15114" width="2.7265625" style="165" customWidth="1"/>
    <col min="15115" max="15118" width="16.1796875" style="165" customWidth="1"/>
    <col min="15119" max="15360" width="8.81640625" style="165"/>
    <col min="15361" max="15364" width="16.26953125" style="165" customWidth="1"/>
    <col min="15365" max="15365" width="3.1796875" style="165" customWidth="1"/>
    <col min="15366" max="15369" width="16.26953125" style="165" customWidth="1"/>
    <col min="15370" max="15370" width="2.7265625" style="165" customWidth="1"/>
    <col min="15371" max="15374" width="16.1796875" style="165" customWidth="1"/>
    <col min="15375" max="15616" width="8.81640625" style="165"/>
    <col min="15617" max="15620" width="16.26953125" style="165" customWidth="1"/>
    <col min="15621" max="15621" width="3.1796875" style="165" customWidth="1"/>
    <col min="15622" max="15625" width="16.26953125" style="165" customWidth="1"/>
    <col min="15626" max="15626" width="2.7265625" style="165" customWidth="1"/>
    <col min="15627" max="15630" width="16.1796875" style="165" customWidth="1"/>
    <col min="15631" max="15872" width="8.81640625" style="165"/>
    <col min="15873" max="15876" width="16.26953125" style="165" customWidth="1"/>
    <col min="15877" max="15877" width="3.1796875" style="165" customWidth="1"/>
    <col min="15878" max="15881" width="16.26953125" style="165" customWidth="1"/>
    <col min="15882" max="15882" width="2.7265625" style="165" customWidth="1"/>
    <col min="15883" max="15886" width="16.1796875" style="165" customWidth="1"/>
    <col min="15887" max="16128" width="8.81640625" style="165"/>
    <col min="16129" max="16132" width="16.26953125" style="165" customWidth="1"/>
    <col min="16133" max="16133" width="3.1796875" style="165" customWidth="1"/>
    <col min="16134" max="16137" width="16.26953125" style="165" customWidth="1"/>
    <col min="16138" max="16138" width="2.7265625" style="165" customWidth="1"/>
    <col min="16139" max="16142" width="16.1796875" style="165" customWidth="1"/>
    <col min="16143" max="16384" width="8.81640625" style="165"/>
  </cols>
  <sheetData>
    <row r="2" spans="1:14" ht="33" customHeight="1" x14ac:dyDescent="0.3">
      <c r="A2" s="366" t="s">
        <v>123</v>
      </c>
      <c r="B2" s="366"/>
      <c r="C2" s="367"/>
      <c r="D2" s="367"/>
      <c r="F2" s="368" t="s">
        <v>124</v>
      </c>
      <c r="G2" s="368"/>
      <c r="H2" s="369"/>
      <c r="I2" s="369"/>
      <c r="K2" s="370" t="s">
        <v>125</v>
      </c>
      <c r="L2" s="370"/>
      <c r="M2" s="371"/>
      <c r="N2" s="371"/>
    </row>
    <row r="3" spans="1:14" ht="38" x14ac:dyDescent="0.25">
      <c r="A3" s="166" t="s">
        <v>126</v>
      </c>
      <c r="B3" s="167" t="s">
        <v>127</v>
      </c>
      <c r="C3" s="167" t="s">
        <v>128</v>
      </c>
      <c r="D3" s="166" t="s">
        <v>129</v>
      </c>
      <c r="F3" s="166" t="s">
        <v>126</v>
      </c>
      <c r="G3" s="167" t="s">
        <v>127</v>
      </c>
      <c r="H3" s="167" t="s">
        <v>128</v>
      </c>
      <c r="I3" s="166" t="s">
        <v>129</v>
      </c>
      <c r="K3" s="166" t="s">
        <v>126</v>
      </c>
      <c r="L3" s="167" t="s">
        <v>127</v>
      </c>
      <c r="M3" s="167" t="s">
        <v>128</v>
      </c>
      <c r="N3" s="166" t="s">
        <v>129</v>
      </c>
    </row>
    <row r="4" spans="1:14" x14ac:dyDescent="0.25">
      <c r="A4" s="168">
        <v>0</v>
      </c>
      <c r="B4" s="169">
        <f>'Bilan DCDC'!H93</f>
        <v>0</v>
      </c>
      <c r="C4" s="169">
        <f>'Bilan DCDC'!H92</f>
        <v>0</v>
      </c>
      <c r="D4" s="169">
        <f>'Bilan DCDC'!C90</f>
        <v>250</v>
      </c>
      <c r="F4" s="168">
        <v>0</v>
      </c>
      <c r="G4" s="169">
        <f>'Bilan DCDC'!M93</f>
        <v>0</v>
      </c>
      <c r="H4" s="169">
        <f>+'Bilan DCDC'!N92</f>
        <v>0</v>
      </c>
      <c r="I4" s="169">
        <f>'Bilan DCDC'!C91</f>
        <v>250</v>
      </c>
      <c r="K4" s="168">
        <v>0</v>
      </c>
      <c r="L4" s="169">
        <f>'Bilan DCDC'!T93</f>
        <v>0</v>
      </c>
      <c r="M4" s="169">
        <f>'Bilan DCDC'!T92</f>
        <v>0</v>
      </c>
      <c r="N4" s="169">
        <f>'Bilan DCDC'!C91</f>
        <v>250</v>
      </c>
    </row>
    <row r="5" spans="1:14" x14ac:dyDescent="0.25">
      <c r="A5" s="168">
        <v>5</v>
      </c>
      <c r="B5" s="169">
        <f>B4</f>
        <v>0</v>
      </c>
      <c r="C5" s="169">
        <f>C4</f>
        <v>0</v>
      </c>
      <c r="D5" s="169">
        <f>D4</f>
        <v>250</v>
      </c>
      <c r="F5" s="168">
        <v>5</v>
      </c>
      <c r="G5" s="169">
        <f>G4</f>
        <v>0</v>
      </c>
      <c r="H5" s="169">
        <f>H4</f>
        <v>0</v>
      </c>
      <c r="I5" s="169">
        <f>I4</f>
        <v>250</v>
      </c>
      <c r="K5" s="168">
        <v>5</v>
      </c>
      <c r="L5" s="169">
        <f>L4</f>
        <v>0</v>
      </c>
      <c r="M5" s="169">
        <f>M4</f>
        <v>0</v>
      </c>
      <c r="N5" s="169">
        <f>N4</f>
        <v>250</v>
      </c>
    </row>
    <row r="6" spans="1:14" x14ac:dyDescent="0.25">
      <c r="A6" s="169">
        <v>5</v>
      </c>
      <c r="B6" s="169">
        <f>'Bilan DCDC'!I93</f>
        <v>0</v>
      </c>
      <c r="C6" s="169">
        <f>'Bilan DCDC'!I92</f>
        <v>0</v>
      </c>
      <c r="D6" s="169">
        <f>D4</f>
        <v>250</v>
      </c>
      <c r="F6" s="169">
        <v>5</v>
      </c>
      <c r="G6" s="169">
        <f>'Bilan DCDC'!O93</f>
        <v>0</v>
      </c>
      <c r="H6" s="169">
        <f>'Bilan DCDC'!O92</f>
        <v>0</v>
      </c>
      <c r="I6" s="169">
        <f>I4</f>
        <v>250</v>
      </c>
      <c r="K6" s="169">
        <v>5</v>
      </c>
      <c r="L6" s="169">
        <f>'Bilan DCDC'!U93</f>
        <v>0</v>
      </c>
      <c r="M6" s="169">
        <f>'Bilan DCDC'!U92</f>
        <v>0</v>
      </c>
      <c r="N6" s="169">
        <f>N4</f>
        <v>250</v>
      </c>
    </row>
    <row r="7" spans="1:14" x14ac:dyDescent="0.25">
      <c r="A7" s="169">
        <v>10</v>
      </c>
      <c r="B7" s="169">
        <f>B6</f>
        <v>0</v>
      </c>
      <c r="C7" s="169">
        <f>C6</f>
        <v>0</v>
      </c>
      <c r="D7" s="169">
        <f>D5</f>
        <v>250</v>
      </c>
      <c r="F7" s="169">
        <v>10</v>
      </c>
      <c r="G7" s="169">
        <f>G6</f>
        <v>0</v>
      </c>
      <c r="H7" s="169">
        <f>H6</f>
        <v>0</v>
      </c>
      <c r="I7" s="169">
        <f>I5</f>
        <v>250</v>
      </c>
      <c r="K7" s="169">
        <v>10</v>
      </c>
      <c r="L7" s="169">
        <f>L6</f>
        <v>0</v>
      </c>
      <c r="M7" s="169">
        <f>M6</f>
        <v>0</v>
      </c>
      <c r="N7" s="169">
        <f>N5</f>
        <v>250</v>
      </c>
    </row>
    <row r="8" spans="1:14" x14ac:dyDescent="0.25">
      <c r="A8" s="168">
        <v>10</v>
      </c>
      <c r="B8" s="169">
        <f>'Bilan DCDC'!J93</f>
        <v>0</v>
      </c>
      <c r="C8" s="169">
        <f>'Bilan DCDC'!J92</f>
        <v>0</v>
      </c>
      <c r="D8" s="169">
        <f>D4</f>
        <v>250</v>
      </c>
      <c r="F8" s="168">
        <v>10</v>
      </c>
      <c r="G8" s="169">
        <f>'Bilan DCDC'!P93</f>
        <v>0</v>
      </c>
      <c r="H8" s="169">
        <f>'Bilan DCDC'!P92</f>
        <v>0</v>
      </c>
      <c r="I8" s="169">
        <f>I4</f>
        <v>250</v>
      </c>
      <c r="K8" s="168">
        <v>10</v>
      </c>
      <c r="L8" s="169">
        <f>'Bilan DCDC'!V93</f>
        <v>0</v>
      </c>
      <c r="M8" s="169">
        <f>'Bilan DCDC'!V92</f>
        <v>0</v>
      </c>
      <c r="N8" s="169">
        <f>N4</f>
        <v>250</v>
      </c>
    </row>
    <row r="9" spans="1:14" x14ac:dyDescent="0.25">
      <c r="A9" s="169">
        <v>15</v>
      </c>
      <c r="B9" s="169">
        <f>B8</f>
        <v>0</v>
      </c>
      <c r="C9" s="169">
        <f>C8</f>
        <v>0</v>
      </c>
      <c r="D9" s="169">
        <f>D4</f>
        <v>250</v>
      </c>
      <c r="F9" s="169">
        <v>15</v>
      </c>
      <c r="G9" s="169">
        <f>G8</f>
        <v>0</v>
      </c>
      <c r="H9" s="169">
        <f>H8</f>
        <v>0</v>
      </c>
      <c r="I9" s="169">
        <f>I4</f>
        <v>250</v>
      </c>
      <c r="K9" s="169">
        <v>15</v>
      </c>
      <c r="L9" s="169">
        <f>L8</f>
        <v>0</v>
      </c>
      <c r="M9" s="169">
        <f>M8</f>
        <v>0</v>
      </c>
      <c r="N9" s="169">
        <f>N4</f>
        <v>250</v>
      </c>
    </row>
    <row r="10" spans="1:14" x14ac:dyDescent="0.25">
      <c r="A10" s="169">
        <v>15</v>
      </c>
      <c r="B10" s="169">
        <f>'Bilan DCDC'!K93</f>
        <v>0</v>
      </c>
      <c r="C10" s="169">
        <f>'Bilan DCDC'!K92</f>
        <v>0</v>
      </c>
      <c r="D10" s="169">
        <f>D4</f>
        <v>250</v>
      </c>
      <c r="F10" s="169">
        <v>15</v>
      </c>
      <c r="G10" s="169">
        <f>'Bilan DCDC'!Q93</f>
        <v>0</v>
      </c>
      <c r="H10" s="169">
        <f>'Bilan DCDC'!Q92</f>
        <v>0</v>
      </c>
      <c r="I10" s="169">
        <f>I4</f>
        <v>250</v>
      </c>
      <c r="K10" s="169">
        <v>15</v>
      </c>
      <c r="L10" s="169">
        <f>'Bilan DCDC'!W93</f>
        <v>0</v>
      </c>
      <c r="M10" s="169">
        <f>'Bilan DCDC'!W92</f>
        <v>0</v>
      </c>
      <c r="N10" s="169">
        <f>N4</f>
        <v>250</v>
      </c>
    </row>
    <row r="11" spans="1:14" x14ac:dyDescent="0.25">
      <c r="A11" s="168">
        <v>15</v>
      </c>
      <c r="B11" s="169">
        <f>B10</f>
        <v>0</v>
      </c>
      <c r="C11" s="169">
        <f>C10</f>
        <v>0</v>
      </c>
      <c r="D11" s="169">
        <f>D7</f>
        <v>250</v>
      </c>
      <c r="F11" s="168">
        <v>15</v>
      </c>
      <c r="G11" s="169">
        <f>G10</f>
        <v>0</v>
      </c>
      <c r="H11" s="169">
        <f>H10</f>
        <v>0</v>
      </c>
      <c r="I11" s="169">
        <f>I7</f>
        <v>250</v>
      </c>
      <c r="K11" s="168">
        <v>15</v>
      </c>
      <c r="L11" s="169">
        <f>L10</f>
        <v>0</v>
      </c>
      <c r="M11" s="169">
        <f>M10</f>
        <v>0</v>
      </c>
      <c r="N11" s="169">
        <f>N7</f>
        <v>250</v>
      </c>
    </row>
    <row r="12" spans="1:14" x14ac:dyDescent="0.25">
      <c r="A12" s="169">
        <v>25</v>
      </c>
      <c r="B12" s="169">
        <f>B11</f>
        <v>0</v>
      </c>
      <c r="C12" s="169">
        <f>C11</f>
        <v>0</v>
      </c>
      <c r="D12" s="169">
        <f>D7</f>
        <v>250</v>
      </c>
      <c r="F12" s="169">
        <v>25</v>
      </c>
      <c r="G12" s="169">
        <f>G11</f>
        <v>0</v>
      </c>
      <c r="H12" s="169">
        <f>H11</f>
        <v>0</v>
      </c>
      <c r="I12" s="169">
        <f>I7</f>
        <v>250</v>
      </c>
      <c r="K12" s="169">
        <v>25</v>
      </c>
      <c r="L12" s="169">
        <f>L11</f>
        <v>0</v>
      </c>
      <c r="M12" s="169">
        <f>M11</f>
        <v>0</v>
      </c>
      <c r="N12" s="169">
        <f>N7</f>
        <v>250</v>
      </c>
    </row>
    <row r="13" spans="1:14" x14ac:dyDescent="0.25">
      <c r="A13" s="169">
        <v>25</v>
      </c>
      <c r="B13" s="169">
        <f>'Bilan DCDC'!L93</f>
        <v>0</v>
      </c>
      <c r="C13" s="169">
        <f>'Bilan DCDC'!L92</f>
        <v>0</v>
      </c>
      <c r="D13" s="169">
        <f>D7</f>
        <v>250</v>
      </c>
      <c r="F13" s="169">
        <v>25</v>
      </c>
      <c r="G13" s="169">
        <f>'Bilan DCDC'!R93</f>
        <v>0</v>
      </c>
      <c r="H13" s="169">
        <f>'Bilan DCDC'!R92</f>
        <v>0</v>
      </c>
      <c r="I13" s="169">
        <f>I7</f>
        <v>250</v>
      </c>
      <c r="K13" s="169">
        <v>25</v>
      </c>
      <c r="L13" s="169">
        <f>'Bilan DCDC'!X93</f>
        <v>0</v>
      </c>
      <c r="M13" s="169">
        <f>'Bilan DCDC'!X92</f>
        <v>0</v>
      </c>
      <c r="N13" s="169">
        <f>N7</f>
        <v>250</v>
      </c>
    </row>
    <row r="14" spans="1:14" x14ac:dyDescent="0.25">
      <c r="A14" s="168">
        <v>25</v>
      </c>
      <c r="B14" s="169">
        <f>B13</f>
        <v>0</v>
      </c>
      <c r="C14" s="169">
        <f>C13</f>
        <v>0</v>
      </c>
      <c r="D14" s="169">
        <f>D4</f>
        <v>250</v>
      </c>
      <c r="F14" s="168">
        <v>25</v>
      </c>
      <c r="G14" s="169">
        <f>G13</f>
        <v>0</v>
      </c>
      <c r="H14" s="169">
        <f>H13</f>
        <v>0</v>
      </c>
      <c r="I14" s="169">
        <f>I4</f>
        <v>250</v>
      </c>
      <c r="K14" s="168">
        <v>25</v>
      </c>
      <c r="L14" s="169">
        <f>L13</f>
        <v>0</v>
      </c>
      <c r="M14" s="169">
        <f>M13</f>
        <v>0</v>
      </c>
      <c r="N14" s="169">
        <f>N4</f>
        <v>250</v>
      </c>
    </row>
    <row r="15" spans="1:14" x14ac:dyDescent="0.25">
      <c r="A15" s="168">
        <v>30</v>
      </c>
      <c r="B15" s="169">
        <f>B14</f>
        <v>0</v>
      </c>
      <c r="C15" s="169">
        <f>C14</f>
        <v>0</v>
      </c>
      <c r="D15" s="169">
        <f>D4</f>
        <v>250</v>
      </c>
      <c r="F15" s="168">
        <v>30</v>
      </c>
      <c r="G15" s="169">
        <f>G14</f>
        <v>0</v>
      </c>
      <c r="H15" s="169">
        <f>H14</f>
        <v>0</v>
      </c>
      <c r="I15" s="169">
        <f>I4</f>
        <v>250</v>
      </c>
      <c r="K15" s="168">
        <v>30</v>
      </c>
      <c r="L15" s="169">
        <f>L14</f>
        <v>0</v>
      </c>
      <c r="M15" s="169">
        <f>M14</f>
        <v>0</v>
      </c>
      <c r="N15" s="169">
        <f>N4</f>
        <v>250</v>
      </c>
    </row>
  </sheetData>
  <mergeCells count="3">
    <mergeCell ref="A2:D2"/>
    <mergeCell ref="F2:I2"/>
    <mergeCell ref="K2:N2"/>
  </mergeCells>
  <pageMargins left="0.7" right="0.7" top="0.75" bottom="0.75" header="0.3" footer="0.3"/>
  <pageSetup paperSize="9" orientation="portrait" r:id="rId1"/>
  <headerFooter>
    <oddFooter>&amp;R_x000D_&amp;1#&amp;"Arial"&amp;10&amp;K000000 Confidential C</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3390-4608-408A-86EA-6928FF421294}">
  <sheetPr>
    <outlinePr applyStyles="1"/>
    <pageSetUpPr fitToPage="1"/>
  </sheetPr>
  <dimension ref="A1:AY176"/>
  <sheetViews>
    <sheetView showGridLines="0" zoomScale="90" zoomScaleNormal="90" workbookViewId="0">
      <pane xSplit="9" ySplit="14" topLeftCell="J105" activePane="bottomRight" state="frozen"/>
      <selection pane="topRight" activeCell="B50" sqref="B50:E50"/>
      <selection pane="bottomLeft" activeCell="B50" sqref="B50:E50"/>
      <selection pane="bottomRight" activeCell="G85" sqref="G85"/>
    </sheetView>
  </sheetViews>
  <sheetFormatPr baseColWidth="10" defaultColWidth="11.453125" defaultRowHeight="11.5" x14ac:dyDescent="0.25"/>
  <cols>
    <col min="1" max="1" width="3.453125" style="1" customWidth="1"/>
    <col min="2" max="2" width="42.26953125" style="1" customWidth="1"/>
    <col min="3" max="4" width="13" style="1" customWidth="1"/>
    <col min="5" max="5" width="9.81640625" style="2" customWidth="1"/>
    <col min="6" max="6" width="9.453125" style="2" customWidth="1"/>
    <col min="7" max="7" width="9.81640625" style="2" customWidth="1"/>
    <col min="8" max="8" width="9.453125" style="2" customWidth="1"/>
    <col min="9" max="9" width="11.453125" style="3" customWidth="1"/>
    <col min="10" max="16" width="7.7265625" style="2" customWidth="1"/>
    <col min="17" max="17" width="2" style="2" customWidth="1"/>
    <col min="18" max="23" width="8.1796875" style="2" customWidth="1"/>
    <col min="24" max="24" width="1.453125" style="2" customWidth="1"/>
    <col min="25" max="30" width="8.26953125" style="2" customWidth="1"/>
    <col min="31" max="31" width="0.7265625" style="2" customWidth="1"/>
    <col min="32" max="32" width="15.7265625" style="1" bestFit="1" customWidth="1"/>
    <col min="33" max="33" width="13.81640625" style="4" customWidth="1"/>
    <col min="34" max="256" width="11.453125" style="1"/>
    <col min="257" max="257" width="3.453125" style="1" customWidth="1"/>
    <col min="258" max="258" width="16.26953125" style="1" customWidth="1"/>
    <col min="259" max="259" width="16.7265625" style="1" customWidth="1"/>
    <col min="260" max="260" width="11.81640625" style="1" customWidth="1"/>
    <col min="261" max="261" width="10.54296875" style="1" customWidth="1"/>
    <col min="262" max="262" width="13.7265625" style="1" customWidth="1"/>
    <col min="263" max="263" width="13.81640625" style="1" customWidth="1"/>
    <col min="264" max="264" width="14.7265625" style="1" customWidth="1"/>
    <col min="265" max="269" width="10.7265625" style="1" customWidth="1"/>
    <col min="270" max="270" width="2.81640625" style="1" customWidth="1"/>
    <col min="271" max="275" width="10.54296875" style="1" customWidth="1"/>
    <col min="276" max="276" width="2.7265625" style="1" customWidth="1"/>
    <col min="277" max="286" width="10.7265625" style="1" customWidth="1"/>
    <col min="287" max="287" width="7.1796875" style="1" customWidth="1"/>
    <col min="288" max="288" width="43.7265625" style="1" customWidth="1"/>
    <col min="289" max="289" width="13.81640625" style="1" customWidth="1"/>
    <col min="290" max="512" width="11.453125" style="1"/>
    <col min="513" max="513" width="3.453125" style="1" customWidth="1"/>
    <col min="514" max="514" width="16.26953125" style="1" customWidth="1"/>
    <col min="515" max="515" width="16.7265625" style="1" customWidth="1"/>
    <col min="516" max="516" width="11.81640625" style="1" customWidth="1"/>
    <col min="517" max="517" width="10.54296875" style="1" customWidth="1"/>
    <col min="518" max="518" width="13.7265625" style="1" customWidth="1"/>
    <col min="519" max="519" width="13.81640625" style="1" customWidth="1"/>
    <col min="520" max="520" width="14.7265625" style="1" customWidth="1"/>
    <col min="521" max="525" width="10.7265625" style="1" customWidth="1"/>
    <col min="526" max="526" width="2.81640625" style="1" customWidth="1"/>
    <col min="527" max="531" width="10.54296875" style="1" customWidth="1"/>
    <col min="532" max="532" width="2.7265625" style="1" customWidth="1"/>
    <col min="533" max="542" width="10.7265625" style="1" customWidth="1"/>
    <col min="543" max="543" width="7.1796875" style="1" customWidth="1"/>
    <col min="544" max="544" width="43.7265625" style="1" customWidth="1"/>
    <col min="545" max="545" width="13.81640625" style="1" customWidth="1"/>
    <col min="546" max="768" width="11.453125" style="1"/>
    <col min="769" max="769" width="3.453125" style="1" customWidth="1"/>
    <col min="770" max="770" width="16.26953125" style="1" customWidth="1"/>
    <col min="771" max="771" width="16.7265625" style="1" customWidth="1"/>
    <col min="772" max="772" width="11.81640625" style="1" customWidth="1"/>
    <col min="773" max="773" width="10.54296875" style="1" customWidth="1"/>
    <col min="774" max="774" width="13.7265625" style="1" customWidth="1"/>
    <col min="775" max="775" width="13.81640625" style="1" customWidth="1"/>
    <col min="776" max="776" width="14.7265625" style="1" customWidth="1"/>
    <col min="777" max="781" width="10.7265625" style="1" customWidth="1"/>
    <col min="782" max="782" width="2.81640625" style="1" customWidth="1"/>
    <col min="783" max="787" width="10.54296875" style="1" customWidth="1"/>
    <col min="788" max="788" width="2.7265625" style="1" customWidth="1"/>
    <col min="789" max="798" width="10.7265625" style="1" customWidth="1"/>
    <col min="799" max="799" width="7.1796875" style="1" customWidth="1"/>
    <col min="800" max="800" width="43.7265625" style="1" customWidth="1"/>
    <col min="801" max="801" width="13.81640625" style="1" customWidth="1"/>
    <col min="802" max="1024" width="11.453125" style="1"/>
    <col min="1025" max="1025" width="3.453125" style="1" customWidth="1"/>
    <col min="1026" max="1026" width="16.26953125" style="1" customWidth="1"/>
    <col min="1027" max="1027" width="16.7265625" style="1" customWidth="1"/>
    <col min="1028" max="1028" width="11.81640625" style="1" customWidth="1"/>
    <col min="1029" max="1029" width="10.54296875" style="1" customWidth="1"/>
    <col min="1030" max="1030" width="13.7265625" style="1" customWidth="1"/>
    <col min="1031" max="1031" width="13.81640625" style="1" customWidth="1"/>
    <col min="1032" max="1032" width="14.7265625" style="1" customWidth="1"/>
    <col min="1033" max="1037" width="10.7265625" style="1" customWidth="1"/>
    <col min="1038" max="1038" width="2.81640625" style="1" customWidth="1"/>
    <col min="1039" max="1043" width="10.54296875" style="1" customWidth="1"/>
    <col min="1044" max="1044" width="2.7265625" style="1" customWidth="1"/>
    <col min="1045" max="1054" width="10.7265625" style="1" customWidth="1"/>
    <col min="1055" max="1055" width="7.1796875" style="1" customWidth="1"/>
    <col min="1056" max="1056" width="43.7265625" style="1" customWidth="1"/>
    <col min="1057" max="1057" width="13.81640625" style="1" customWidth="1"/>
    <col min="1058" max="1280" width="11.453125" style="1"/>
    <col min="1281" max="1281" width="3.453125" style="1" customWidth="1"/>
    <col min="1282" max="1282" width="16.26953125" style="1" customWidth="1"/>
    <col min="1283" max="1283" width="16.7265625" style="1" customWidth="1"/>
    <col min="1284" max="1284" width="11.81640625" style="1" customWidth="1"/>
    <col min="1285" max="1285" width="10.54296875" style="1" customWidth="1"/>
    <col min="1286" max="1286" width="13.7265625" style="1" customWidth="1"/>
    <col min="1287" max="1287" width="13.81640625" style="1" customWidth="1"/>
    <col min="1288" max="1288" width="14.7265625" style="1" customWidth="1"/>
    <col min="1289" max="1293" width="10.7265625" style="1" customWidth="1"/>
    <col min="1294" max="1294" width="2.81640625" style="1" customWidth="1"/>
    <col min="1295" max="1299" width="10.54296875" style="1" customWidth="1"/>
    <col min="1300" max="1300" width="2.7265625" style="1" customWidth="1"/>
    <col min="1301" max="1310" width="10.7265625" style="1" customWidth="1"/>
    <col min="1311" max="1311" width="7.1796875" style="1" customWidth="1"/>
    <col min="1312" max="1312" width="43.7265625" style="1" customWidth="1"/>
    <col min="1313" max="1313" width="13.81640625" style="1" customWidth="1"/>
    <col min="1314" max="1536" width="11.453125" style="1"/>
    <col min="1537" max="1537" width="3.453125" style="1" customWidth="1"/>
    <col min="1538" max="1538" width="16.26953125" style="1" customWidth="1"/>
    <col min="1539" max="1539" width="16.7265625" style="1" customWidth="1"/>
    <col min="1540" max="1540" width="11.81640625" style="1" customWidth="1"/>
    <col min="1541" max="1541" width="10.54296875" style="1" customWidth="1"/>
    <col min="1542" max="1542" width="13.7265625" style="1" customWidth="1"/>
    <col min="1543" max="1543" width="13.81640625" style="1" customWidth="1"/>
    <col min="1544" max="1544" width="14.7265625" style="1" customWidth="1"/>
    <col min="1545" max="1549" width="10.7265625" style="1" customWidth="1"/>
    <col min="1550" max="1550" width="2.81640625" style="1" customWidth="1"/>
    <col min="1551" max="1555" width="10.54296875" style="1" customWidth="1"/>
    <col min="1556" max="1556" width="2.7265625" style="1" customWidth="1"/>
    <col min="1557" max="1566" width="10.7265625" style="1" customWidth="1"/>
    <col min="1567" max="1567" width="7.1796875" style="1" customWidth="1"/>
    <col min="1568" max="1568" width="43.7265625" style="1" customWidth="1"/>
    <col min="1569" max="1569" width="13.81640625" style="1" customWidth="1"/>
    <col min="1570" max="1792" width="11.453125" style="1"/>
    <col min="1793" max="1793" width="3.453125" style="1" customWidth="1"/>
    <col min="1794" max="1794" width="16.26953125" style="1" customWidth="1"/>
    <col min="1795" max="1795" width="16.7265625" style="1" customWidth="1"/>
    <col min="1796" max="1796" width="11.81640625" style="1" customWidth="1"/>
    <col min="1797" max="1797" width="10.54296875" style="1" customWidth="1"/>
    <col min="1798" max="1798" width="13.7265625" style="1" customWidth="1"/>
    <col min="1799" max="1799" width="13.81640625" style="1" customWidth="1"/>
    <col min="1800" max="1800" width="14.7265625" style="1" customWidth="1"/>
    <col min="1801" max="1805" width="10.7265625" style="1" customWidth="1"/>
    <col min="1806" max="1806" width="2.81640625" style="1" customWidth="1"/>
    <col min="1807" max="1811" width="10.54296875" style="1" customWidth="1"/>
    <col min="1812" max="1812" width="2.7265625" style="1" customWidth="1"/>
    <col min="1813" max="1822" width="10.7265625" style="1" customWidth="1"/>
    <col min="1823" max="1823" width="7.1796875" style="1" customWidth="1"/>
    <col min="1824" max="1824" width="43.7265625" style="1" customWidth="1"/>
    <col min="1825" max="1825" width="13.81640625" style="1" customWidth="1"/>
    <col min="1826" max="2048" width="11.453125" style="1"/>
    <col min="2049" max="2049" width="3.453125" style="1" customWidth="1"/>
    <col min="2050" max="2050" width="16.26953125" style="1" customWidth="1"/>
    <col min="2051" max="2051" width="16.7265625" style="1" customWidth="1"/>
    <col min="2052" max="2052" width="11.81640625" style="1" customWidth="1"/>
    <col min="2053" max="2053" width="10.54296875" style="1" customWidth="1"/>
    <col min="2054" max="2054" width="13.7265625" style="1" customWidth="1"/>
    <col min="2055" max="2055" width="13.81640625" style="1" customWidth="1"/>
    <col min="2056" max="2056" width="14.7265625" style="1" customWidth="1"/>
    <col min="2057" max="2061" width="10.7265625" style="1" customWidth="1"/>
    <col min="2062" max="2062" width="2.81640625" style="1" customWidth="1"/>
    <col min="2063" max="2067" width="10.54296875" style="1" customWidth="1"/>
    <col min="2068" max="2068" width="2.7265625" style="1" customWidth="1"/>
    <col min="2069" max="2078" width="10.7265625" style="1" customWidth="1"/>
    <col min="2079" max="2079" width="7.1796875" style="1" customWidth="1"/>
    <col min="2080" max="2080" width="43.7265625" style="1" customWidth="1"/>
    <col min="2081" max="2081" width="13.81640625" style="1" customWidth="1"/>
    <col min="2082" max="2304" width="11.453125" style="1"/>
    <col min="2305" max="2305" width="3.453125" style="1" customWidth="1"/>
    <col min="2306" max="2306" width="16.26953125" style="1" customWidth="1"/>
    <col min="2307" max="2307" width="16.7265625" style="1" customWidth="1"/>
    <col min="2308" max="2308" width="11.81640625" style="1" customWidth="1"/>
    <col min="2309" max="2309" width="10.54296875" style="1" customWidth="1"/>
    <col min="2310" max="2310" width="13.7265625" style="1" customWidth="1"/>
    <col min="2311" max="2311" width="13.81640625" style="1" customWidth="1"/>
    <col min="2312" max="2312" width="14.7265625" style="1" customWidth="1"/>
    <col min="2313" max="2317" width="10.7265625" style="1" customWidth="1"/>
    <col min="2318" max="2318" width="2.81640625" style="1" customWidth="1"/>
    <col min="2319" max="2323" width="10.54296875" style="1" customWidth="1"/>
    <col min="2324" max="2324" width="2.7265625" style="1" customWidth="1"/>
    <col min="2325" max="2334" width="10.7265625" style="1" customWidth="1"/>
    <col min="2335" max="2335" width="7.1796875" style="1" customWidth="1"/>
    <col min="2336" max="2336" width="43.7265625" style="1" customWidth="1"/>
    <col min="2337" max="2337" width="13.81640625" style="1" customWidth="1"/>
    <col min="2338" max="2560" width="11.453125" style="1"/>
    <col min="2561" max="2561" width="3.453125" style="1" customWidth="1"/>
    <col min="2562" max="2562" width="16.26953125" style="1" customWidth="1"/>
    <col min="2563" max="2563" width="16.7265625" style="1" customWidth="1"/>
    <col min="2564" max="2564" width="11.81640625" style="1" customWidth="1"/>
    <col min="2565" max="2565" width="10.54296875" style="1" customWidth="1"/>
    <col min="2566" max="2566" width="13.7265625" style="1" customWidth="1"/>
    <col min="2567" max="2567" width="13.81640625" style="1" customWidth="1"/>
    <col min="2568" max="2568" width="14.7265625" style="1" customWidth="1"/>
    <col min="2569" max="2573" width="10.7265625" style="1" customWidth="1"/>
    <col min="2574" max="2574" width="2.81640625" style="1" customWidth="1"/>
    <col min="2575" max="2579" width="10.54296875" style="1" customWidth="1"/>
    <col min="2580" max="2580" width="2.7265625" style="1" customWidth="1"/>
    <col min="2581" max="2590" width="10.7265625" style="1" customWidth="1"/>
    <col min="2591" max="2591" width="7.1796875" style="1" customWidth="1"/>
    <col min="2592" max="2592" width="43.7265625" style="1" customWidth="1"/>
    <col min="2593" max="2593" width="13.81640625" style="1" customWidth="1"/>
    <col min="2594" max="2816" width="11.453125" style="1"/>
    <col min="2817" max="2817" width="3.453125" style="1" customWidth="1"/>
    <col min="2818" max="2818" width="16.26953125" style="1" customWidth="1"/>
    <col min="2819" max="2819" width="16.7265625" style="1" customWidth="1"/>
    <col min="2820" max="2820" width="11.81640625" style="1" customWidth="1"/>
    <col min="2821" max="2821" width="10.54296875" style="1" customWidth="1"/>
    <col min="2822" max="2822" width="13.7265625" style="1" customWidth="1"/>
    <col min="2823" max="2823" width="13.81640625" style="1" customWidth="1"/>
    <col min="2824" max="2824" width="14.7265625" style="1" customWidth="1"/>
    <col min="2825" max="2829" width="10.7265625" style="1" customWidth="1"/>
    <col min="2830" max="2830" width="2.81640625" style="1" customWidth="1"/>
    <col min="2831" max="2835" width="10.54296875" style="1" customWidth="1"/>
    <col min="2836" max="2836" width="2.7265625" style="1" customWidth="1"/>
    <col min="2837" max="2846" width="10.7265625" style="1" customWidth="1"/>
    <col min="2847" max="2847" width="7.1796875" style="1" customWidth="1"/>
    <col min="2848" max="2848" width="43.7265625" style="1" customWidth="1"/>
    <col min="2849" max="2849" width="13.81640625" style="1" customWidth="1"/>
    <col min="2850" max="3072" width="11.453125" style="1"/>
    <col min="3073" max="3073" width="3.453125" style="1" customWidth="1"/>
    <col min="3074" max="3074" width="16.26953125" style="1" customWidth="1"/>
    <col min="3075" max="3075" width="16.7265625" style="1" customWidth="1"/>
    <col min="3076" max="3076" width="11.81640625" style="1" customWidth="1"/>
    <col min="3077" max="3077" width="10.54296875" style="1" customWidth="1"/>
    <col min="3078" max="3078" width="13.7265625" style="1" customWidth="1"/>
    <col min="3079" max="3079" width="13.81640625" style="1" customWidth="1"/>
    <col min="3080" max="3080" width="14.7265625" style="1" customWidth="1"/>
    <col min="3081" max="3085" width="10.7265625" style="1" customWidth="1"/>
    <col min="3086" max="3086" width="2.81640625" style="1" customWidth="1"/>
    <col min="3087" max="3091" width="10.54296875" style="1" customWidth="1"/>
    <col min="3092" max="3092" width="2.7265625" style="1" customWidth="1"/>
    <col min="3093" max="3102" width="10.7265625" style="1" customWidth="1"/>
    <col min="3103" max="3103" width="7.1796875" style="1" customWidth="1"/>
    <col min="3104" max="3104" width="43.7265625" style="1" customWidth="1"/>
    <col min="3105" max="3105" width="13.81640625" style="1" customWidth="1"/>
    <col min="3106" max="3328" width="11.453125" style="1"/>
    <col min="3329" max="3329" width="3.453125" style="1" customWidth="1"/>
    <col min="3330" max="3330" width="16.26953125" style="1" customWidth="1"/>
    <col min="3331" max="3331" width="16.7265625" style="1" customWidth="1"/>
    <col min="3332" max="3332" width="11.81640625" style="1" customWidth="1"/>
    <col min="3333" max="3333" width="10.54296875" style="1" customWidth="1"/>
    <col min="3334" max="3334" width="13.7265625" style="1" customWidth="1"/>
    <col min="3335" max="3335" width="13.81640625" style="1" customWidth="1"/>
    <col min="3336" max="3336" width="14.7265625" style="1" customWidth="1"/>
    <col min="3337" max="3341" width="10.7265625" style="1" customWidth="1"/>
    <col min="3342" max="3342" width="2.81640625" style="1" customWidth="1"/>
    <col min="3343" max="3347" width="10.54296875" style="1" customWidth="1"/>
    <col min="3348" max="3348" width="2.7265625" style="1" customWidth="1"/>
    <col min="3349" max="3358" width="10.7265625" style="1" customWidth="1"/>
    <col min="3359" max="3359" width="7.1796875" style="1" customWidth="1"/>
    <col min="3360" max="3360" width="43.7265625" style="1" customWidth="1"/>
    <col min="3361" max="3361" width="13.81640625" style="1" customWidth="1"/>
    <col min="3362" max="3584" width="11.453125" style="1"/>
    <col min="3585" max="3585" width="3.453125" style="1" customWidth="1"/>
    <col min="3586" max="3586" width="16.26953125" style="1" customWidth="1"/>
    <col min="3587" max="3587" width="16.7265625" style="1" customWidth="1"/>
    <col min="3588" max="3588" width="11.81640625" style="1" customWidth="1"/>
    <col min="3589" max="3589" width="10.54296875" style="1" customWidth="1"/>
    <col min="3590" max="3590" width="13.7265625" style="1" customWidth="1"/>
    <col min="3591" max="3591" width="13.81640625" style="1" customWidth="1"/>
    <col min="3592" max="3592" width="14.7265625" style="1" customWidth="1"/>
    <col min="3593" max="3597" width="10.7265625" style="1" customWidth="1"/>
    <col min="3598" max="3598" width="2.81640625" style="1" customWidth="1"/>
    <col min="3599" max="3603" width="10.54296875" style="1" customWidth="1"/>
    <col min="3604" max="3604" width="2.7265625" style="1" customWidth="1"/>
    <col min="3605" max="3614" width="10.7265625" style="1" customWidth="1"/>
    <col min="3615" max="3615" width="7.1796875" style="1" customWidth="1"/>
    <col min="3616" max="3616" width="43.7265625" style="1" customWidth="1"/>
    <col min="3617" max="3617" width="13.81640625" style="1" customWidth="1"/>
    <col min="3618" max="3840" width="11.453125" style="1"/>
    <col min="3841" max="3841" width="3.453125" style="1" customWidth="1"/>
    <col min="3842" max="3842" width="16.26953125" style="1" customWidth="1"/>
    <col min="3843" max="3843" width="16.7265625" style="1" customWidth="1"/>
    <col min="3844" max="3844" width="11.81640625" style="1" customWidth="1"/>
    <col min="3845" max="3845" width="10.54296875" style="1" customWidth="1"/>
    <col min="3846" max="3846" width="13.7265625" style="1" customWidth="1"/>
    <col min="3847" max="3847" width="13.81640625" style="1" customWidth="1"/>
    <col min="3848" max="3848" width="14.7265625" style="1" customWidth="1"/>
    <col min="3849" max="3853" width="10.7265625" style="1" customWidth="1"/>
    <col min="3854" max="3854" width="2.81640625" style="1" customWidth="1"/>
    <col min="3855" max="3859" width="10.54296875" style="1" customWidth="1"/>
    <col min="3860" max="3860" width="2.7265625" style="1" customWidth="1"/>
    <col min="3861" max="3870" width="10.7265625" style="1" customWidth="1"/>
    <col min="3871" max="3871" width="7.1796875" style="1" customWidth="1"/>
    <col min="3872" max="3872" width="43.7265625" style="1" customWidth="1"/>
    <col min="3873" max="3873" width="13.81640625" style="1" customWidth="1"/>
    <col min="3874" max="4096" width="11.453125" style="1"/>
    <col min="4097" max="4097" width="3.453125" style="1" customWidth="1"/>
    <col min="4098" max="4098" width="16.26953125" style="1" customWidth="1"/>
    <col min="4099" max="4099" width="16.7265625" style="1" customWidth="1"/>
    <col min="4100" max="4100" width="11.81640625" style="1" customWidth="1"/>
    <col min="4101" max="4101" width="10.54296875" style="1" customWidth="1"/>
    <col min="4102" max="4102" width="13.7265625" style="1" customWidth="1"/>
    <col min="4103" max="4103" width="13.81640625" style="1" customWidth="1"/>
    <col min="4104" max="4104" width="14.7265625" style="1" customWidth="1"/>
    <col min="4105" max="4109" width="10.7265625" style="1" customWidth="1"/>
    <col min="4110" max="4110" width="2.81640625" style="1" customWidth="1"/>
    <col min="4111" max="4115" width="10.54296875" style="1" customWidth="1"/>
    <col min="4116" max="4116" width="2.7265625" style="1" customWidth="1"/>
    <col min="4117" max="4126" width="10.7265625" style="1" customWidth="1"/>
    <col min="4127" max="4127" width="7.1796875" style="1" customWidth="1"/>
    <col min="4128" max="4128" width="43.7265625" style="1" customWidth="1"/>
    <col min="4129" max="4129" width="13.81640625" style="1" customWidth="1"/>
    <col min="4130" max="4352" width="11.453125" style="1"/>
    <col min="4353" max="4353" width="3.453125" style="1" customWidth="1"/>
    <col min="4354" max="4354" width="16.26953125" style="1" customWidth="1"/>
    <col min="4355" max="4355" width="16.7265625" style="1" customWidth="1"/>
    <col min="4356" max="4356" width="11.81640625" style="1" customWidth="1"/>
    <col min="4357" max="4357" width="10.54296875" style="1" customWidth="1"/>
    <col min="4358" max="4358" width="13.7265625" style="1" customWidth="1"/>
    <col min="4359" max="4359" width="13.81640625" style="1" customWidth="1"/>
    <col min="4360" max="4360" width="14.7265625" style="1" customWidth="1"/>
    <col min="4361" max="4365" width="10.7265625" style="1" customWidth="1"/>
    <col min="4366" max="4366" width="2.81640625" style="1" customWidth="1"/>
    <col min="4367" max="4371" width="10.54296875" style="1" customWidth="1"/>
    <col min="4372" max="4372" width="2.7265625" style="1" customWidth="1"/>
    <col min="4373" max="4382" width="10.7265625" style="1" customWidth="1"/>
    <col min="4383" max="4383" width="7.1796875" style="1" customWidth="1"/>
    <col min="4384" max="4384" width="43.7265625" style="1" customWidth="1"/>
    <col min="4385" max="4385" width="13.81640625" style="1" customWidth="1"/>
    <col min="4386" max="4608" width="11.453125" style="1"/>
    <col min="4609" max="4609" width="3.453125" style="1" customWidth="1"/>
    <col min="4610" max="4610" width="16.26953125" style="1" customWidth="1"/>
    <col min="4611" max="4611" width="16.7265625" style="1" customWidth="1"/>
    <col min="4612" max="4612" width="11.81640625" style="1" customWidth="1"/>
    <col min="4613" max="4613" width="10.54296875" style="1" customWidth="1"/>
    <col min="4614" max="4614" width="13.7265625" style="1" customWidth="1"/>
    <col min="4615" max="4615" width="13.81640625" style="1" customWidth="1"/>
    <col min="4616" max="4616" width="14.7265625" style="1" customWidth="1"/>
    <col min="4617" max="4621" width="10.7265625" style="1" customWidth="1"/>
    <col min="4622" max="4622" width="2.81640625" style="1" customWidth="1"/>
    <col min="4623" max="4627" width="10.54296875" style="1" customWidth="1"/>
    <col min="4628" max="4628" width="2.7265625" style="1" customWidth="1"/>
    <col min="4629" max="4638" width="10.7265625" style="1" customWidth="1"/>
    <col min="4639" max="4639" width="7.1796875" style="1" customWidth="1"/>
    <col min="4640" max="4640" width="43.7265625" style="1" customWidth="1"/>
    <col min="4641" max="4641" width="13.81640625" style="1" customWidth="1"/>
    <col min="4642" max="4864" width="11.453125" style="1"/>
    <col min="4865" max="4865" width="3.453125" style="1" customWidth="1"/>
    <col min="4866" max="4866" width="16.26953125" style="1" customWidth="1"/>
    <col min="4867" max="4867" width="16.7265625" style="1" customWidth="1"/>
    <col min="4868" max="4868" width="11.81640625" style="1" customWidth="1"/>
    <col min="4869" max="4869" width="10.54296875" style="1" customWidth="1"/>
    <col min="4870" max="4870" width="13.7265625" style="1" customWidth="1"/>
    <col min="4871" max="4871" width="13.81640625" style="1" customWidth="1"/>
    <col min="4872" max="4872" width="14.7265625" style="1" customWidth="1"/>
    <col min="4873" max="4877" width="10.7265625" style="1" customWidth="1"/>
    <col min="4878" max="4878" width="2.81640625" style="1" customWidth="1"/>
    <col min="4879" max="4883" width="10.54296875" style="1" customWidth="1"/>
    <col min="4884" max="4884" width="2.7265625" style="1" customWidth="1"/>
    <col min="4885" max="4894" width="10.7265625" style="1" customWidth="1"/>
    <col min="4895" max="4895" width="7.1796875" style="1" customWidth="1"/>
    <col min="4896" max="4896" width="43.7265625" style="1" customWidth="1"/>
    <col min="4897" max="4897" width="13.81640625" style="1" customWidth="1"/>
    <col min="4898" max="5120" width="11.453125" style="1"/>
    <col min="5121" max="5121" width="3.453125" style="1" customWidth="1"/>
    <col min="5122" max="5122" width="16.26953125" style="1" customWidth="1"/>
    <col min="5123" max="5123" width="16.7265625" style="1" customWidth="1"/>
    <col min="5124" max="5124" width="11.81640625" style="1" customWidth="1"/>
    <col min="5125" max="5125" width="10.54296875" style="1" customWidth="1"/>
    <col min="5126" max="5126" width="13.7265625" style="1" customWidth="1"/>
    <col min="5127" max="5127" width="13.81640625" style="1" customWidth="1"/>
    <col min="5128" max="5128" width="14.7265625" style="1" customWidth="1"/>
    <col min="5129" max="5133" width="10.7265625" style="1" customWidth="1"/>
    <col min="5134" max="5134" width="2.81640625" style="1" customWidth="1"/>
    <col min="5135" max="5139" width="10.54296875" style="1" customWidth="1"/>
    <col min="5140" max="5140" width="2.7265625" style="1" customWidth="1"/>
    <col min="5141" max="5150" width="10.7265625" style="1" customWidth="1"/>
    <col min="5151" max="5151" width="7.1796875" style="1" customWidth="1"/>
    <col min="5152" max="5152" width="43.7265625" style="1" customWidth="1"/>
    <col min="5153" max="5153" width="13.81640625" style="1" customWidth="1"/>
    <col min="5154" max="5376" width="11.453125" style="1"/>
    <col min="5377" max="5377" width="3.453125" style="1" customWidth="1"/>
    <col min="5378" max="5378" width="16.26953125" style="1" customWidth="1"/>
    <col min="5379" max="5379" width="16.7265625" style="1" customWidth="1"/>
    <col min="5380" max="5380" width="11.81640625" style="1" customWidth="1"/>
    <col min="5381" max="5381" width="10.54296875" style="1" customWidth="1"/>
    <col min="5382" max="5382" width="13.7265625" style="1" customWidth="1"/>
    <col min="5383" max="5383" width="13.81640625" style="1" customWidth="1"/>
    <col min="5384" max="5384" width="14.7265625" style="1" customWidth="1"/>
    <col min="5385" max="5389" width="10.7265625" style="1" customWidth="1"/>
    <col min="5390" max="5390" width="2.81640625" style="1" customWidth="1"/>
    <col min="5391" max="5395" width="10.54296875" style="1" customWidth="1"/>
    <col min="5396" max="5396" width="2.7265625" style="1" customWidth="1"/>
    <col min="5397" max="5406" width="10.7265625" style="1" customWidth="1"/>
    <col min="5407" max="5407" width="7.1796875" style="1" customWidth="1"/>
    <col min="5408" max="5408" width="43.7265625" style="1" customWidth="1"/>
    <col min="5409" max="5409" width="13.81640625" style="1" customWidth="1"/>
    <col min="5410" max="5632" width="11.453125" style="1"/>
    <col min="5633" max="5633" width="3.453125" style="1" customWidth="1"/>
    <col min="5634" max="5634" width="16.26953125" style="1" customWidth="1"/>
    <col min="5635" max="5635" width="16.7265625" style="1" customWidth="1"/>
    <col min="5636" max="5636" width="11.81640625" style="1" customWidth="1"/>
    <col min="5637" max="5637" width="10.54296875" style="1" customWidth="1"/>
    <col min="5638" max="5638" width="13.7265625" style="1" customWidth="1"/>
    <col min="5639" max="5639" width="13.81640625" style="1" customWidth="1"/>
    <col min="5640" max="5640" width="14.7265625" style="1" customWidth="1"/>
    <col min="5641" max="5645" width="10.7265625" style="1" customWidth="1"/>
    <col min="5646" max="5646" width="2.81640625" style="1" customWidth="1"/>
    <col min="5647" max="5651" width="10.54296875" style="1" customWidth="1"/>
    <col min="5652" max="5652" width="2.7265625" style="1" customWidth="1"/>
    <col min="5653" max="5662" width="10.7265625" style="1" customWidth="1"/>
    <col min="5663" max="5663" width="7.1796875" style="1" customWidth="1"/>
    <col min="5664" max="5664" width="43.7265625" style="1" customWidth="1"/>
    <col min="5665" max="5665" width="13.81640625" style="1" customWidth="1"/>
    <col min="5666" max="5888" width="11.453125" style="1"/>
    <col min="5889" max="5889" width="3.453125" style="1" customWidth="1"/>
    <col min="5890" max="5890" width="16.26953125" style="1" customWidth="1"/>
    <col min="5891" max="5891" width="16.7265625" style="1" customWidth="1"/>
    <col min="5892" max="5892" width="11.81640625" style="1" customWidth="1"/>
    <col min="5893" max="5893" width="10.54296875" style="1" customWidth="1"/>
    <col min="5894" max="5894" width="13.7265625" style="1" customWidth="1"/>
    <col min="5895" max="5895" width="13.81640625" style="1" customWidth="1"/>
    <col min="5896" max="5896" width="14.7265625" style="1" customWidth="1"/>
    <col min="5897" max="5901" width="10.7265625" style="1" customWidth="1"/>
    <col min="5902" max="5902" width="2.81640625" style="1" customWidth="1"/>
    <col min="5903" max="5907" width="10.54296875" style="1" customWidth="1"/>
    <col min="5908" max="5908" width="2.7265625" style="1" customWidth="1"/>
    <col min="5909" max="5918" width="10.7265625" style="1" customWidth="1"/>
    <col min="5919" max="5919" width="7.1796875" style="1" customWidth="1"/>
    <col min="5920" max="5920" width="43.7265625" style="1" customWidth="1"/>
    <col min="5921" max="5921" width="13.81640625" style="1" customWidth="1"/>
    <col min="5922" max="6144" width="11.453125" style="1"/>
    <col min="6145" max="6145" width="3.453125" style="1" customWidth="1"/>
    <col min="6146" max="6146" width="16.26953125" style="1" customWidth="1"/>
    <col min="6147" max="6147" width="16.7265625" style="1" customWidth="1"/>
    <col min="6148" max="6148" width="11.81640625" style="1" customWidth="1"/>
    <col min="6149" max="6149" width="10.54296875" style="1" customWidth="1"/>
    <col min="6150" max="6150" width="13.7265625" style="1" customWidth="1"/>
    <col min="6151" max="6151" width="13.81640625" style="1" customWidth="1"/>
    <col min="6152" max="6152" width="14.7265625" style="1" customWidth="1"/>
    <col min="6153" max="6157" width="10.7265625" style="1" customWidth="1"/>
    <col min="6158" max="6158" width="2.81640625" style="1" customWidth="1"/>
    <col min="6159" max="6163" width="10.54296875" style="1" customWidth="1"/>
    <col min="6164" max="6164" width="2.7265625" style="1" customWidth="1"/>
    <col min="6165" max="6174" width="10.7265625" style="1" customWidth="1"/>
    <col min="6175" max="6175" width="7.1796875" style="1" customWidth="1"/>
    <col min="6176" max="6176" width="43.7265625" style="1" customWidth="1"/>
    <col min="6177" max="6177" width="13.81640625" style="1" customWidth="1"/>
    <col min="6178" max="6400" width="11.453125" style="1"/>
    <col min="6401" max="6401" width="3.453125" style="1" customWidth="1"/>
    <col min="6402" max="6402" width="16.26953125" style="1" customWidth="1"/>
    <col min="6403" max="6403" width="16.7265625" style="1" customWidth="1"/>
    <col min="6404" max="6404" width="11.81640625" style="1" customWidth="1"/>
    <col min="6405" max="6405" width="10.54296875" style="1" customWidth="1"/>
    <col min="6406" max="6406" width="13.7265625" style="1" customWidth="1"/>
    <col min="6407" max="6407" width="13.81640625" style="1" customWidth="1"/>
    <col min="6408" max="6408" width="14.7265625" style="1" customWidth="1"/>
    <col min="6409" max="6413" width="10.7265625" style="1" customWidth="1"/>
    <col min="6414" max="6414" width="2.81640625" style="1" customWidth="1"/>
    <col min="6415" max="6419" width="10.54296875" style="1" customWidth="1"/>
    <col min="6420" max="6420" width="2.7265625" style="1" customWidth="1"/>
    <col min="6421" max="6430" width="10.7265625" style="1" customWidth="1"/>
    <col min="6431" max="6431" width="7.1796875" style="1" customWidth="1"/>
    <col min="6432" max="6432" width="43.7265625" style="1" customWidth="1"/>
    <col min="6433" max="6433" width="13.81640625" style="1" customWidth="1"/>
    <col min="6434" max="6656" width="11.453125" style="1"/>
    <col min="6657" max="6657" width="3.453125" style="1" customWidth="1"/>
    <col min="6658" max="6658" width="16.26953125" style="1" customWidth="1"/>
    <col min="6659" max="6659" width="16.7265625" style="1" customWidth="1"/>
    <col min="6660" max="6660" width="11.81640625" style="1" customWidth="1"/>
    <col min="6661" max="6661" width="10.54296875" style="1" customWidth="1"/>
    <col min="6662" max="6662" width="13.7265625" style="1" customWidth="1"/>
    <col min="6663" max="6663" width="13.81640625" style="1" customWidth="1"/>
    <col min="6664" max="6664" width="14.7265625" style="1" customWidth="1"/>
    <col min="6665" max="6669" width="10.7265625" style="1" customWidth="1"/>
    <col min="6670" max="6670" width="2.81640625" style="1" customWidth="1"/>
    <col min="6671" max="6675" width="10.54296875" style="1" customWidth="1"/>
    <col min="6676" max="6676" width="2.7265625" style="1" customWidth="1"/>
    <col min="6677" max="6686" width="10.7265625" style="1" customWidth="1"/>
    <col min="6687" max="6687" width="7.1796875" style="1" customWidth="1"/>
    <col min="6688" max="6688" width="43.7265625" style="1" customWidth="1"/>
    <col min="6689" max="6689" width="13.81640625" style="1" customWidth="1"/>
    <col min="6690" max="6912" width="11.453125" style="1"/>
    <col min="6913" max="6913" width="3.453125" style="1" customWidth="1"/>
    <col min="6914" max="6914" width="16.26953125" style="1" customWidth="1"/>
    <col min="6915" max="6915" width="16.7265625" style="1" customWidth="1"/>
    <col min="6916" max="6916" width="11.81640625" style="1" customWidth="1"/>
    <col min="6917" max="6917" width="10.54296875" style="1" customWidth="1"/>
    <col min="6918" max="6918" width="13.7265625" style="1" customWidth="1"/>
    <col min="6919" max="6919" width="13.81640625" style="1" customWidth="1"/>
    <col min="6920" max="6920" width="14.7265625" style="1" customWidth="1"/>
    <col min="6921" max="6925" width="10.7265625" style="1" customWidth="1"/>
    <col min="6926" max="6926" width="2.81640625" style="1" customWidth="1"/>
    <col min="6927" max="6931" width="10.54296875" style="1" customWidth="1"/>
    <col min="6932" max="6932" width="2.7265625" style="1" customWidth="1"/>
    <col min="6933" max="6942" width="10.7265625" style="1" customWidth="1"/>
    <col min="6943" max="6943" width="7.1796875" style="1" customWidth="1"/>
    <col min="6944" max="6944" width="43.7265625" style="1" customWidth="1"/>
    <col min="6945" max="6945" width="13.81640625" style="1" customWidth="1"/>
    <col min="6946" max="7168" width="11.453125" style="1"/>
    <col min="7169" max="7169" width="3.453125" style="1" customWidth="1"/>
    <col min="7170" max="7170" width="16.26953125" style="1" customWidth="1"/>
    <col min="7171" max="7171" width="16.7265625" style="1" customWidth="1"/>
    <col min="7172" max="7172" width="11.81640625" style="1" customWidth="1"/>
    <col min="7173" max="7173" width="10.54296875" style="1" customWidth="1"/>
    <col min="7174" max="7174" width="13.7265625" style="1" customWidth="1"/>
    <col min="7175" max="7175" width="13.81640625" style="1" customWidth="1"/>
    <col min="7176" max="7176" width="14.7265625" style="1" customWidth="1"/>
    <col min="7177" max="7181" width="10.7265625" style="1" customWidth="1"/>
    <col min="7182" max="7182" width="2.81640625" style="1" customWidth="1"/>
    <col min="7183" max="7187" width="10.54296875" style="1" customWidth="1"/>
    <col min="7188" max="7188" width="2.7265625" style="1" customWidth="1"/>
    <col min="7189" max="7198" width="10.7265625" style="1" customWidth="1"/>
    <col min="7199" max="7199" width="7.1796875" style="1" customWidth="1"/>
    <col min="7200" max="7200" width="43.7265625" style="1" customWidth="1"/>
    <col min="7201" max="7201" width="13.81640625" style="1" customWidth="1"/>
    <col min="7202" max="7424" width="11.453125" style="1"/>
    <col min="7425" max="7425" width="3.453125" style="1" customWidth="1"/>
    <col min="7426" max="7426" width="16.26953125" style="1" customWidth="1"/>
    <col min="7427" max="7427" width="16.7265625" style="1" customWidth="1"/>
    <col min="7428" max="7428" width="11.81640625" style="1" customWidth="1"/>
    <col min="7429" max="7429" width="10.54296875" style="1" customWidth="1"/>
    <col min="7430" max="7430" width="13.7265625" style="1" customWidth="1"/>
    <col min="7431" max="7431" width="13.81640625" style="1" customWidth="1"/>
    <col min="7432" max="7432" width="14.7265625" style="1" customWidth="1"/>
    <col min="7433" max="7437" width="10.7265625" style="1" customWidth="1"/>
    <col min="7438" max="7438" width="2.81640625" style="1" customWidth="1"/>
    <col min="7439" max="7443" width="10.54296875" style="1" customWidth="1"/>
    <col min="7444" max="7444" width="2.7265625" style="1" customWidth="1"/>
    <col min="7445" max="7454" width="10.7265625" style="1" customWidth="1"/>
    <col min="7455" max="7455" width="7.1796875" style="1" customWidth="1"/>
    <col min="7456" max="7456" width="43.7265625" style="1" customWidth="1"/>
    <col min="7457" max="7457" width="13.81640625" style="1" customWidth="1"/>
    <col min="7458" max="7680" width="11.453125" style="1"/>
    <col min="7681" max="7681" width="3.453125" style="1" customWidth="1"/>
    <col min="7682" max="7682" width="16.26953125" style="1" customWidth="1"/>
    <col min="7683" max="7683" width="16.7265625" style="1" customWidth="1"/>
    <col min="7684" max="7684" width="11.81640625" style="1" customWidth="1"/>
    <col min="7685" max="7685" width="10.54296875" style="1" customWidth="1"/>
    <col min="7686" max="7686" width="13.7265625" style="1" customWidth="1"/>
    <col min="7687" max="7687" width="13.81640625" style="1" customWidth="1"/>
    <col min="7688" max="7688" width="14.7265625" style="1" customWidth="1"/>
    <col min="7689" max="7693" width="10.7265625" style="1" customWidth="1"/>
    <col min="7694" max="7694" width="2.81640625" style="1" customWidth="1"/>
    <col min="7695" max="7699" width="10.54296875" style="1" customWidth="1"/>
    <col min="7700" max="7700" width="2.7265625" style="1" customWidth="1"/>
    <col min="7701" max="7710" width="10.7265625" style="1" customWidth="1"/>
    <col min="7711" max="7711" width="7.1796875" style="1" customWidth="1"/>
    <col min="7712" max="7712" width="43.7265625" style="1" customWidth="1"/>
    <col min="7713" max="7713" width="13.81640625" style="1" customWidth="1"/>
    <col min="7714" max="7936" width="11.453125" style="1"/>
    <col min="7937" max="7937" width="3.453125" style="1" customWidth="1"/>
    <col min="7938" max="7938" width="16.26953125" style="1" customWidth="1"/>
    <col min="7939" max="7939" width="16.7265625" style="1" customWidth="1"/>
    <col min="7940" max="7940" width="11.81640625" style="1" customWidth="1"/>
    <col min="7941" max="7941" width="10.54296875" style="1" customWidth="1"/>
    <col min="7942" max="7942" width="13.7265625" style="1" customWidth="1"/>
    <col min="7943" max="7943" width="13.81640625" style="1" customWidth="1"/>
    <col min="7944" max="7944" width="14.7265625" style="1" customWidth="1"/>
    <col min="7945" max="7949" width="10.7265625" style="1" customWidth="1"/>
    <col min="7950" max="7950" width="2.81640625" style="1" customWidth="1"/>
    <col min="7951" max="7955" width="10.54296875" style="1" customWidth="1"/>
    <col min="7956" max="7956" width="2.7265625" style="1" customWidth="1"/>
    <col min="7957" max="7966" width="10.7265625" style="1" customWidth="1"/>
    <col min="7967" max="7967" width="7.1796875" style="1" customWidth="1"/>
    <col min="7968" max="7968" width="43.7265625" style="1" customWidth="1"/>
    <col min="7969" max="7969" width="13.81640625" style="1" customWidth="1"/>
    <col min="7970" max="8192" width="11.453125" style="1"/>
    <col min="8193" max="8193" width="3.453125" style="1" customWidth="1"/>
    <col min="8194" max="8194" width="16.26953125" style="1" customWidth="1"/>
    <col min="8195" max="8195" width="16.7265625" style="1" customWidth="1"/>
    <col min="8196" max="8196" width="11.81640625" style="1" customWidth="1"/>
    <col min="8197" max="8197" width="10.54296875" style="1" customWidth="1"/>
    <col min="8198" max="8198" width="13.7265625" style="1" customWidth="1"/>
    <col min="8199" max="8199" width="13.81640625" style="1" customWidth="1"/>
    <col min="8200" max="8200" width="14.7265625" style="1" customWidth="1"/>
    <col min="8201" max="8205" width="10.7265625" style="1" customWidth="1"/>
    <col min="8206" max="8206" width="2.81640625" style="1" customWidth="1"/>
    <col min="8207" max="8211" width="10.54296875" style="1" customWidth="1"/>
    <col min="8212" max="8212" width="2.7265625" style="1" customWidth="1"/>
    <col min="8213" max="8222" width="10.7265625" style="1" customWidth="1"/>
    <col min="8223" max="8223" width="7.1796875" style="1" customWidth="1"/>
    <col min="8224" max="8224" width="43.7265625" style="1" customWidth="1"/>
    <col min="8225" max="8225" width="13.81640625" style="1" customWidth="1"/>
    <col min="8226" max="8448" width="11.453125" style="1"/>
    <col min="8449" max="8449" width="3.453125" style="1" customWidth="1"/>
    <col min="8450" max="8450" width="16.26953125" style="1" customWidth="1"/>
    <col min="8451" max="8451" width="16.7265625" style="1" customWidth="1"/>
    <col min="8452" max="8452" width="11.81640625" style="1" customWidth="1"/>
    <col min="8453" max="8453" width="10.54296875" style="1" customWidth="1"/>
    <col min="8454" max="8454" width="13.7265625" style="1" customWidth="1"/>
    <col min="8455" max="8455" width="13.81640625" style="1" customWidth="1"/>
    <col min="8456" max="8456" width="14.7265625" style="1" customWidth="1"/>
    <col min="8457" max="8461" width="10.7265625" style="1" customWidth="1"/>
    <col min="8462" max="8462" width="2.81640625" style="1" customWidth="1"/>
    <col min="8463" max="8467" width="10.54296875" style="1" customWidth="1"/>
    <col min="8468" max="8468" width="2.7265625" style="1" customWidth="1"/>
    <col min="8469" max="8478" width="10.7265625" style="1" customWidth="1"/>
    <col min="8479" max="8479" width="7.1796875" style="1" customWidth="1"/>
    <col min="8480" max="8480" width="43.7265625" style="1" customWidth="1"/>
    <col min="8481" max="8481" width="13.81640625" style="1" customWidth="1"/>
    <col min="8482" max="8704" width="11.453125" style="1"/>
    <col min="8705" max="8705" width="3.453125" style="1" customWidth="1"/>
    <col min="8706" max="8706" width="16.26953125" style="1" customWidth="1"/>
    <col min="8707" max="8707" width="16.7265625" style="1" customWidth="1"/>
    <col min="8708" max="8708" width="11.81640625" style="1" customWidth="1"/>
    <col min="8709" max="8709" width="10.54296875" style="1" customWidth="1"/>
    <col min="8710" max="8710" width="13.7265625" style="1" customWidth="1"/>
    <col min="8711" max="8711" width="13.81640625" style="1" customWidth="1"/>
    <col min="8712" max="8712" width="14.7265625" style="1" customWidth="1"/>
    <col min="8713" max="8717" width="10.7265625" style="1" customWidth="1"/>
    <col min="8718" max="8718" width="2.81640625" style="1" customWidth="1"/>
    <col min="8719" max="8723" width="10.54296875" style="1" customWidth="1"/>
    <col min="8724" max="8724" width="2.7265625" style="1" customWidth="1"/>
    <col min="8725" max="8734" width="10.7265625" style="1" customWidth="1"/>
    <col min="8735" max="8735" width="7.1796875" style="1" customWidth="1"/>
    <col min="8736" max="8736" width="43.7265625" style="1" customWidth="1"/>
    <col min="8737" max="8737" width="13.81640625" style="1" customWidth="1"/>
    <col min="8738" max="8960" width="11.453125" style="1"/>
    <col min="8961" max="8961" width="3.453125" style="1" customWidth="1"/>
    <col min="8962" max="8962" width="16.26953125" style="1" customWidth="1"/>
    <col min="8963" max="8963" width="16.7265625" style="1" customWidth="1"/>
    <col min="8964" max="8964" width="11.81640625" style="1" customWidth="1"/>
    <col min="8965" max="8965" width="10.54296875" style="1" customWidth="1"/>
    <col min="8966" max="8966" width="13.7265625" style="1" customWidth="1"/>
    <col min="8967" max="8967" width="13.81640625" style="1" customWidth="1"/>
    <col min="8968" max="8968" width="14.7265625" style="1" customWidth="1"/>
    <col min="8969" max="8973" width="10.7265625" style="1" customWidth="1"/>
    <col min="8974" max="8974" width="2.81640625" style="1" customWidth="1"/>
    <col min="8975" max="8979" width="10.54296875" style="1" customWidth="1"/>
    <col min="8980" max="8980" width="2.7265625" style="1" customWidth="1"/>
    <col min="8981" max="8990" width="10.7265625" style="1" customWidth="1"/>
    <col min="8991" max="8991" width="7.1796875" style="1" customWidth="1"/>
    <col min="8992" max="8992" width="43.7265625" style="1" customWidth="1"/>
    <col min="8993" max="8993" width="13.81640625" style="1" customWidth="1"/>
    <col min="8994" max="9216" width="11.453125" style="1"/>
    <col min="9217" max="9217" width="3.453125" style="1" customWidth="1"/>
    <col min="9218" max="9218" width="16.26953125" style="1" customWidth="1"/>
    <col min="9219" max="9219" width="16.7265625" style="1" customWidth="1"/>
    <col min="9220" max="9220" width="11.81640625" style="1" customWidth="1"/>
    <col min="9221" max="9221" width="10.54296875" style="1" customWidth="1"/>
    <col min="9222" max="9222" width="13.7265625" style="1" customWidth="1"/>
    <col min="9223" max="9223" width="13.81640625" style="1" customWidth="1"/>
    <col min="9224" max="9224" width="14.7265625" style="1" customWidth="1"/>
    <col min="9225" max="9229" width="10.7265625" style="1" customWidth="1"/>
    <col min="9230" max="9230" width="2.81640625" style="1" customWidth="1"/>
    <col min="9231" max="9235" width="10.54296875" style="1" customWidth="1"/>
    <col min="9236" max="9236" width="2.7265625" style="1" customWidth="1"/>
    <col min="9237" max="9246" width="10.7265625" style="1" customWidth="1"/>
    <col min="9247" max="9247" width="7.1796875" style="1" customWidth="1"/>
    <col min="9248" max="9248" width="43.7265625" style="1" customWidth="1"/>
    <col min="9249" max="9249" width="13.81640625" style="1" customWidth="1"/>
    <col min="9250" max="9472" width="11.453125" style="1"/>
    <col min="9473" max="9473" width="3.453125" style="1" customWidth="1"/>
    <col min="9474" max="9474" width="16.26953125" style="1" customWidth="1"/>
    <col min="9475" max="9475" width="16.7265625" style="1" customWidth="1"/>
    <col min="9476" max="9476" width="11.81640625" style="1" customWidth="1"/>
    <col min="9477" max="9477" width="10.54296875" style="1" customWidth="1"/>
    <col min="9478" max="9478" width="13.7265625" style="1" customWidth="1"/>
    <col min="9479" max="9479" width="13.81640625" style="1" customWidth="1"/>
    <col min="9480" max="9480" width="14.7265625" style="1" customWidth="1"/>
    <col min="9481" max="9485" width="10.7265625" style="1" customWidth="1"/>
    <col min="9486" max="9486" width="2.81640625" style="1" customWidth="1"/>
    <col min="9487" max="9491" width="10.54296875" style="1" customWidth="1"/>
    <col min="9492" max="9492" width="2.7265625" style="1" customWidth="1"/>
    <col min="9493" max="9502" width="10.7265625" style="1" customWidth="1"/>
    <col min="9503" max="9503" width="7.1796875" style="1" customWidth="1"/>
    <col min="9504" max="9504" width="43.7265625" style="1" customWidth="1"/>
    <col min="9505" max="9505" width="13.81640625" style="1" customWidth="1"/>
    <col min="9506" max="9728" width="11.453125" style="1"/>
    <col min="9729" max="9729" width="3.453125" style="1" customWidth="1"/>
    <col min="9730" max="9730" width="16.26953125" style="1" customWidth="1"/>
    <col min="9731" max="9731" width="16.7265625" style="1" customWidth="1"/>
    <col min="9732" max="9732" width="11.81640625" style="1" customWidth="1"/>
    <col min="9733" max="9733" width="10.54296875" style="1" customWidth="1"/>
    <col min="9734" max="9734" width="13.7265625" style="1" customWidth="1"/>
    <col min="9735" max="9735" width="13.81640625" style="1" customWidth="1"/>
    <col min="9736" max="9736" width="14.7265625" style="1" customWidth="1"/>
    <col min="9737" max="9741" width="10.7265625" style="1" customWidth="1"/>
    <col min="9742" max="9742" width="2.81640625" style="1" customWidth="1"/>
    <col min="9743" max="9747" width="10.54296875" style="1" customWidth="1"/>
    <col min="9748" max="9748" width="2.7265625" style="1" customWidth="1"/>
    <col min="9749" max="9758" width="10.7265625" style="1" customWidth="1"/>
    <col min="9759" max="9759" width="7.1796875" style="1" customWidth="1"/>
    <col min="9760" max="9760" width="43.7265625" style="1" customWidth="1"/>
    <col min="9761" max="9761" width="13.81640625" style="1" customWidth="1"/>
    <col min="9762" max="9984" width="11.453125" style="1"/>
    <col min="9985" max="9985" width="3.453125" style="1" customWidth="1"/>
    <col min="9986" max="9986" width="16.26953125" style="1" customWidth="1"/>
    <col min="9987" max="9987" width="16.7265625" style="1" customWidth="1"/>
    <col min="9988" max="9988" width="11.81640625" style="1" customWidth="1"/>
    <col min="9989" max="9989" width="10.54296875" style="1" customWidth="1"/>
    <col min="9990" max="9990" width="13.7265625" style="1" customWidth="1"/>
    <col min="9991" max="9991" width="13.81640625" style="1" customWidth="1"/>
    <col min="9992" max="9992" width="14.7265625" style="1" customWidth="1"/>
    <col min="9993" max="9997" width="10.7265625" style="1" customWidth="1"/>
    <col min="9998" max="9998" width="2.81640625" style="1" customWidth="1"/>
    <col min="9999" max="10003" width="10.54296875" style="1" customWidth="1"/>
    <col min="10004" max="10004" width="2.7265625" style="1" customWidth="1"/>
    <col min="10005" max="10014" width="10.7265625" style="1" customWidth="1"/>
    <col min="10015" max="10015" width="7.1796875" style="1" customWidth="1"/>
    <col min="10016" max="10016" width="43.7265625" style="1" customWidth="1"/>
    <col min="10017" max="10017" width="13.81640625" style="1" customWidth="1"/>
    <col min="10018" max="10240" width="11.453125" style="1"/>
    <col min="10241" max="10241" width="3.453125" style="1" customWidth="1"/>
    <col min="10242" max="10242" width="16.26953125" style="1" customWidth="1"/>
    <col min="10243" max="10243" width="16.7265625" style="1" customWidth="1"/>
    <col min="10244" max="10244" width="11.81640625" style="1" customWidth="1"/>
    <col min="10245" max="10245" width="10.54296875" style="1" customWidth="1"/>
    <col min="10246" max="10246" width="13.7265625" style="1" customWidth="1"/>
    <col min="10247" max="10247" width="13.81640625" style="1" customWidth="1"/>
    <col min="10248" max="10248" width="14.7265625" style="1" customWidth="1"/>
    <col min="10249" max="10253" width="10.7265625" style="1" customWidth="1"/>
    <col min="10254" max="10254" width="2.81640625" style="1" customWidth="1"/>
    <col min="10255" max="10259" width="10.54296875" style="1" customWidth="1"/>
    <col min="10260" max="10260" width="2.7265625" style="1" customWidth="1"/>
    <col min="10261" max="10270" width="10.7265625" style="1" customWidth="1"/>
    <col min="10271" max="10271" width="7.1796875" style="1" customWidth="1"/>
    <col min="10272" max="10272" width="43.7265625" style="1" customWidth="1"/>
    <col min="10273" max="10273" width="13.81640625" style="1" customWidth="1"/>
    <col min="10274" max="10496" width="11.453125" style="1"/>
    <col min="10497" max="10497" width="3.453125" style="1" customWidth="1"/>
    <col min="10498" max="10498" width="16.26953125" style="1" customWidth="1"/>
    <col min="10499" max="10499" width="16.7265625" style="1" customWidth="1"/>
    <col min="10500" max="10500" width="11.81640625" style="1" customWidth="1"/>
    <col min="10501" max="10501" width="10.54296875" style="1" customWidth="1"/>
    <col min="10502" max="10502" width="13.7265625" style="1" customWidth="1"/>
    <col min="10503" max="10503" width="13.81640625" style="1" customWidth="1"/>
    <col min="10504" max="10504" width="14.7265625" style="1" customWidth="1"/>
    <col min="10505" max="10509" width="10.7265625" style="1" customWidth="1"/>
    <col min="10510" max="10510" width="2.81640625" style="1" customWidth="1"/>
    <col min="10511" max="10515" width="10.54296875" style="1" customWidth="1"/>
    <col min="10516" max="10516" width="2.7265625" style="1" customWidth="1"/>
    <col min="10517" max="10526" width="10.7265625" style="1" customWidth="1"/>
    <col min="10527" max="10527" width="7.1796875" style="1" customWidth="1"/>
    <col min="10528" max="10528" width="43.7265625" style="1" customWidth="1"/>
    <col min="10529" max="10529" width="13.81640625" style="1" customWidth="1"/>
    <col min="10530" max="10752" width="11.453125" style="1"/>
    <col min="10753" max="10753" width="3.453125" style="1" customWidth="1"/>
    <col min="10754" max="10754" width="16.26953125" style="1" customWidth="1"/>
    <col min="10755" max="10755" width="16.7265625" style="1" customWidth="1"/>
    <col min="10756" max="10756" width="11.81640625" style="1" customWidth="1"/>
    <col min="10757" max="10757" width="10.54296875" style="1" customWidth="1"/>
    <col min="10758" max="10758" width="13.7265625" style="1" customWidth="1"/>
    <col min="10759" max="10759" width="13.81640625" style="1" customWidth="1"/>
    <col min="10760" max="10760" width="14.7265625" style="1" customWidth="1"/>
    <col min="10761" max="10765" width="10.7265625" style="1" customWidth="1"/>
    <col min="10766" max="10766" width="2.81640625" style="1" customWidth="1"/>
    <col min="10767" max="10771" width="10.54296875" style="1" customWidth="1"/>
    <col min="10772" max="10772" width="2.7265625" style="1" customWidth="1"/>
    <col min="10773" max="10782" width="10.7265625" style="1" customWidth="1"/>
    <col min="10783" max="10783" width="7.1796875" style="1" customWidth="1"/>
    <col min="10784" max="10784" width="43.7265625" style="1" customWidth="1"/>
    <col min="10785" max="10785" width="13.81640625" style="1" customWidth="1"/>
    <col min="10786" max="11008" width="11.453125" style="1"/>
    <col min="11009" max="11009" width="3.453125" style="1" customWidth="1"/>
    <col min="11010" max="11010" width="16.26953125" style="1" customWidth="1"/>
    <col min="11011" max="11011" width="16.7265625" style="1" customWidth="1"/>
    <col min="11012" max="11012" width="11.81640625" style="1" customWidth="1"/>
    <col min="11013" max="11013" width="10.54296875" style="1" customWidth="1"/>
    <col min="11014" max="11014" width="13.7265625" style="1" customWidth="1"/>
    <col min="11015" max="11015" width="13.81640625" style="1" customWidth="1"/>
    <col min="11016" max="11016" width="14.7265625" style="1" customWidth="1"/>
    <col min="11017" max="11021" width="10.7265625" style="1" customWidth="1"/>
    <col min="11022" max="11022" width="2.81640625" style="1" customWidth="1"/>
    <col min="11023" max="11027" width="10.54296875" style="1" customWidth="1"/>
    <col min="11028" max="11028" width="2.7265625" style="1" customWidth="1"/>
    <col min="11029" max="11038" width="10.7265625" style="1" customWidth="1"/>
    <col min="11039" max="11039" width="7.1796875" style="1" customWidth="1"/>
    <col min="11040" max="11040" width="43.7265625" style="1" customWidth="1"/>
    <col min="11041" max="11041" width="13.81640625" style="1" customWidth="1"/>
    <col min="11042" max="11264" width="11.453125" style="1"/>
    <col min="11265" max="11265" width="3.453125" style="1" customWidth="1"/>
    <col min="11266" max="11266" width="16.26953125" style="1" customWidth="1"/>
    <col min="11267" max="11267" width="16.7265625" style="1" customWidth="1"/>
    <col min="11268" max="11268" width="11.81640625" style="1" customWidth="1"/>
    <col min="11269" max="11269" width="10.54296875" style="1" customWidth="1"/>
    <col min="11270" max="11270" width="13.7265625" style="1" customWidth="1"/>
    <col min="11271" max="11271" width="13.81640625" style="1" customWidth="1"/>
    <col min="11272" max="11272" width="14.7265625" style="1" customWidth="1"/>
    <col min="11273" max="11277" width="10.7265625" style="1" customWidth="1"/>
    <col min="11278" max="11278" width="2.81640625" style="1" customWidth="1"/>
    <col min="11279" max="11283" width="10.54296875" style="1" customWidth="1"/>
    <col min="11284" max="11284" width="2.7265625" style="1" customWidth="1"/>
    <col min="11285" max="11294" width="10.7265625" style="1" customWidth="1"/>
    <col min="11295" max="11295" width="7.1796875" style="1" customWidth="1"/>
    <col min="11296" max="11296" width="43.7265625" style="1" customWidth="1"/>
    <col min="11297" max="11297" width="13.81640625" style="1" customWidth="1"/>
    <col min="11298" max="11520" width="11.453125" style="1"/>
    <col min="11521" max="11521" width="3.453125" style="1" customWidth="1"/>
    <col min="11522" max="11522" width="16.26953125" style="1" customWidth="1"/>
    <col min="11523" max="11523" width="16.7265625" style="1" customWidth="1"/>
    <col min="11524" max="11524" width="11.81640625" style="1" customWidth="1"/>
    <col min="11525" max="11525" width="10.54296875" style="1" customWidth="1"/>
    <col min="11526" max="11526" width="13.7265625" style="1" customWidth="1"/>
    <col min="11527" max="11527" width="13.81640625" style="1" customWidth="1"/>
    <col min="11528" max="11528" width="14.7265625" style="1" customWidth="1"/>
    <col min="11529" max="11533" width="10.7265625" style="1" customWidth="1"/>
    <col min="11534" max="11534" width="2.81640625" style="1" customWidth="1"/>
    <col min="11535" max="11539" width="10.54296875" style="1" customWidth="1"/>
    <col min="11540" max="11540" width="2.7265625" style="1" customWidth="1"/>
    <col min="11541" max="11550" width="10.7265625" style="1" customWidth="1"/>
    <col min="11551" max="11551" width="7.1796875" style="1" customWidth="1"/>
    <col min="11552" max="11552" width="43.7265625" style="1" customWidth="1"/>
    <col min="11553" max="11553" width="13.81640625" style="1" customWidth="1"/>
    <col min="11554" max="11776" width="11.453125" style="1"/>
    <col min="11777" max="11777" width="3.453125" style="1" customWidth="1"/>
    <col min="11778" max="11778" width="16.26953125" style="1" customWidth="1"/>
    <col min="11779" max="11779" width="16.7265625" style="1" customWidth="1"/>
    <col min="11780" max="11780" width="11.81640625" style="1" customWidth="1"/>
    <col min="11781" max="11781" width="10.54296875" style="1" customWidth="1"/>
    <col min="11782" max="11782" width="13.7265625" style="1" customWidth="1"/>
    <col min="11783" max="11783" width="13.81640625" style="1" customWidth="1"/>
    <col min="11784" max="11784" width="14.7265625" style="1" customWidth="1"/>
    <col min="11785" max="11789" width="10.7265625" style="1" customWidth="1"/>
    <col min="11790" max="11790" width="2.81640625" style="1" customWidth="1"/>
    <col min="11791" max="11795" width="10.54296875" style="1" customWidth="1"/>
    <col min="11796" max="11796" width="2.7265625" style="1" customWidth="1"/>
    <col min="11797" max="11806" width="10.7265625" style="1" customWidth="1"/>
    <col min="11807" max="11807" width="7.1796875" style="1" customWidth="1"/>
    <col min="11808" max="11808" width="43.7265625" style="1" customWidth="1"/>
    <col min="11809" max="11809" width="13.81640625" style="1" customWidth="1"/>
    <col min="11810" max="12032" width="11.453125" style="1"/>
    <col min="12033" max="12033" width="3.453125" style="1" customWidth="1"/>
    <col min="12034" max="12034" width="16.26953125" style="1" customWidth="1"/>
    <col min="12035" max="12035" width="16.7265625" style="1" customWidth="1"/>
    <col min="12036" max="12036" width="11.81640625" style="1" customWidth="1"/>
    <col min="12037" max="12037" width="10.54296875" style="1" customWidth="1"/>
    <col min="12038" max="12038" width="13.7265625" style="1" customWidth="1"/>
    <col min="12039" max="12039" width="13.81640625" style="1" customWidth="1"/>
    <col min="12040" max="12040" width="14.7265625" style="1" customWidth="1"/>
    <col min="12041" max="12045" width="10.7265625" style="1" customWidth="1"/>
    <col min="12046" max="12046" width="2.81640625" style="1" customWidth="1"/>
    <col min="12047" max="12051" width="10.54296875" style="1" customWidth="1"/>
    <col min="12052" max="12052" width="2.7265625" style="1" customWidth="1"/>
    <col min="12053" max="12062" width="10.7265625" style="1" customWidth="1"/>
    <col min="12063" max="12063" width="7.1796875" style="1" customWidth="1"/>
    <col min="12064" max="12064" width="43.7265625" style="1" customWidth="1"/>
    <col min="12065" max="12065" width="13.81640625" style="1" customWidth="1"/>
    <col min="12066" max="12288" width="11.453125" style="1"/>
    <col min="12289" max="12289" width="3.453125" style="1" customWidth="1"/>
    <col min="12290" max="12290" width="16.26953125" style="1" customWidth="1"/>
    <col min="12291" max="12291" width="16.7265625" style="1" customWidth="1"/>
    <col min="12292" max="12292" width="11.81640625" style="1" customWidth="1"/>
    <col min="12293" max="12293" width="10.54296875" style="1" customWidth="1"/>
    <col min="12294" max="12294" width="13.7265625" style="1" customWidth="1"/>
    <col min="12295" max="12295" width="13.81640625" style="1" customWidth="1"/>
    <col min="12296" max="12296" width="14.7265625" style="1" customWidth="1"/>
    <col min="12297" max="12301" width="10.7265625" style="1" customWidth="1"/>
    <col min="12302" max="12302" width="2.81640625" style="1" customWidth="1"/>
    <col min="12303" max="12307" width="10.54296875" style="1" customWidth="1"/>
    <col min="12308" max="12308" width="2.7265625" style="1" customWidth="1"/>
    <col min="12309" max="12318" width="10.7265625" style="1" customWidth="1"/>
    <col min="12319" max="12319" width="7.1796875" style="1" customWidth="1"/>
    <col min="12320" max="12320" width="43.7265625" style="1" customWidth="1"/>
    <col min="12321" max="12321" width="13.81640625" style="1" customWidth="1"/>
    <col min="12322" max="12544" width="11.453125" style="1"/>
    <col min="12545" max="12545" width="3.453125" style="1" customWidth="1"/>
    <col min="12546" max="12546" width="16.26953125" style="1" customWidth="1"/>
    <col min="12547" max="12547" width="16.7265625" style="1" customWidth="1"/>
    <col min="12548" max="12548" width="11.81640625" style="1" customWidth="1"/>
    <col min="12549" max="12549" width="10.54296875" style="1" customWidth="1"/>
    <col min="12550" max="12550" width="13.7265625" style="1" customWidth="1"/>
    <col min="12551" max="12551" width="13.81640625" style="1" customWidth="1"/>
    <col min="12552" max="12552" width="14.7265625" style="1" customWidth="1"/>
    <col min="12553" max="12557" width="10.7265625" style="1" customWidth="1"/>
    <col min="12558" max="12558" width="2.81640625" style="1" customWidth="1"/>
    <col min="12559" max="12563" width="10.54296875" style="1" customWidth="1"/>
    <col min="12564" max="12564" width="2.7265625" style="1" customWidth="1"/>
    <col min="12565" max="12574" width="10.7265625" style="1" customWidth="1"/>
    <col min="12575" max="12575" width="7.1796875" style="1" customWidth="1"/>
    <col min="12576" max="12576" width="43.7265625" style="1" customWidth="1"/>
    <col min="12577" max="12577" width="13.81640625" style="1" customWidth="1"/>
    <col min="12578" max="12800" width="11.453125" style="1"/>
    <col min="12801" max="12801" width="3.453125" style="1" customWidth="1"/>
    <col min="12802" max="12802" width="16.26953125" style="1" customWidth="1"/>
    <col min="12803" max="12803" width="16.7265625" style="1" customWidth="1"/>
    <col min="12804" max="12804" width="11.81640625" style="1" customWidth="1"/>
    <col min="12805" max="12805" width="10.54296875" style="1" customWidth="1"/>
    <col min="12806" max="12806" width="13.7265625" style="1" customWidth="1"/>
    <col min="12807" max="12807" width="13.81640625" style="1" customWidth="1"/>
    <col min="12808" max="12808" width="14.7265625" style="1" customWidth="1"/>
    <col min="12809" max="12813" width="10.7265625" style="1" customWidth="1"/>
    <col min="12814" max="12814" width="2.81640625" style="1" customWidth="1"/>
    <col min="12815" max="12819" width="10.54296875" style="1" customWidth="1"/>
    <col min="12820" max="12820" width="2.7265625" style="1" customWidth="1"/>
    <col min="12821" max="12830" width="10.7265625" style="1" customWidth="1"/>
    <col min="12831" max="12831" width="7.1796875" style="1" customWidth="1"/>
    <col min="12832" max="12832" width="43.7265625" style="1" customWidth="1"/>
    <col min="12833" max="12833" width="13.81640625" style="1" customWidth="1"/>
    <col min="12834" max="13056" width="11.453125" style="1"/>
    <col min="13057" max="13057" width="3.453125" style="1" customWidth="1"/>
    <col min="13058" max="13058" width="16.26953125" style="1" customWidth="1"/>
    <col min="13059" max="13059" width="16.7265625" style="1" customWidth="1"/>
    <col min="13060" max="13060" width="11.81640625" style="1" customWidth="1"/>
    <col min="13061" max="13061" width="10.54296875" style="1" customWidth="1"/>
    <col min="13062" max="13062" width="13.7265625" style="1" customWidth="1"/>
    <col min="13063" max="13063" width="13.81640625" style="1" customWidth="1"/>
    <col min="13064" max="13064" width="14.7265625" style="1" customWidth="1"/>
    <col min="13065" max="13069" width="10.7265625" style="1" customWidth="1"/>
    <col min="13070" max="13070" width="2.81640625" style="1" customWidth="1"/>
    <col min="13071" max="13075" width="10.54296875" style="1" customWidth="1"/>
    <col min="13076" max="13076" width="2.7265625" style="1" customWidth="1"/>
    <col min="13077" max="13086" width="10.7265625" style="1" customWidth="1"/>
    <col min="13087" max="13087" width="7.1796875" style="1" customWidth="1"/>
    <col min="13088" max="13088" width="43.7265625" style="1" customWidth="1"/>
    <col min="13089" max="13089" width="13.81640625" style="1" customWidth="1"/>
    <col min="13090" max="13312" width="11.453125" style="1"/>
    <col min="13313" max="13313" width="3.453125" style="1" customWidth="1"/>
    <col min="13314" max="13314" width="16.26953125" style="1" customWidth="1"/>
    <col min="13315" max="13315" width="16.7265625" style="1" customWidth="1"/>
    <col min="13316" max="13316" width="11.81640625" style="1" customWidth="1"/>
    <col min="13317" max="13317" width="10.54296875" style="1" customWidth="1"/>
    <col min="13318" max="13318" width="13.7265625" style="1" customWidth="1"/>
    <col min="13319" max="13319" width="13.81640625" style="1" customWidth="1"/>
    <col min="13320" max="13320" width="14.7265625" style="1" customWidth="1"/>
    <col min="13321" max="13325" width="10.7265625" style="1" customWidth="1"/>
    <col min="13326" max="13326" width="2.81640625" style="1" customWidth="1"/>
    <col min="13327" max="13331" width="10.54296875" style="1" customWidth="1"/>
    <col min="13332" max="13332" width="2.7265625" style="1" customWidth="1"/>
    <col min="13333" max="13342" width="10.7265625" style="1" customWidth="1"/>
    <col min="13343" max="13343" width="7.1796875" style="1" customWidth="1"/>
    <col min="13344" max="13344" width="43.7265625" style="1" customWidth="1"/>
    <col min="13345" max="13345" width="13.81640625" style="1" customWidth="1"/>
    <col min="13346" max="13568" width="11.453125" style="1"/>
    <col min="13569" max="13569" width="3.453125" style="1" customWidth="1"/>
    <col min="13570" max="13570" width="16.26953125" style="1" customWidth="1"/>
    <col min="13571" max="13571" width="16.7265625" style="1" customWidth="1"/>
    <col min="13572" max="13572" width="11.81640625" style="1" customWidth="1"/>
    <col min="13573" max="13573" width="10.54296875" style="1" customWidth="1"/>
    <col min="13574" max="13574" width="13.7265625" style="1" customWidth="1"/>
    <col min="13575" max="13575" width="13.81640625" style="1" customWidth="1"/>
    <col min="13576" max="13576" width="14.7265625" style="1" customWidth="1"/>
    <col min="13577" max="13581" width="10.7265625" style="1" customWidth="1"/>
    <col min="13582" max="13582" width="2.81640625" style="1" customWidth="1"/>
    <col min="13583" max="13587" width="10.54296875" style="1" customWidth="1"/>
    <col min="13588" max="13588" width="2.7265625" style="1" customWidth="1"/>
    <col min="13589" max="13598" width="10.7265625" style="1" customWidth="1"/>
    <col min="13599" max="13599" width="7.1796875" style="1" customWidth="1"/>
    <col min="13600" max="13600" width="43.7265625" style="1" customWidth="1"/>
    <col min="13601" max="13601" width="13.81640625" style="1" customWidth="1"/>
    <col min="13602" max="13824" width="11.453125" style="1"/>
    <col min="13825" max="13825" width="3.453125" style="1" customWidth="1"/>
    <col min="13826" max="13826" width="16.26953125" style="1" customWidth="1"/>
    <col min="13827" max="13827" width="16.7265625" style="1" customWidth="1"/>
    <col min="13828" max="13828" width="11.81640625" style="1" customWidth="1"/>
    <col min="13829" max="13829" width="10.54296875" style="1" customWidth="1"/>
    <col min="13830" max="13830" width="13.7265625" style="1" customWidth="1"/>
    <col min="13831" max="13831" width="13.81640625" style="1" customWidth="1"/>
    <col min="13832" max="13832" width="14.7265625" style="1" customWidth="1"/>
    <col min="13833" max="13837" width="10.7265625" style="1" customWidth="1"/>
    <col min="13838" max="13838" width="2.81640625" style="1" customWidth="1"/>
    <col min="13839" max="13843" width="10.54296875" style="1" customWidth="1"/>
    <col min="13844" max="13844" width="2.7265625" style="1" customWidth="1"/>
    <col min="13845" max="13854" width="10.7265625" style="1" customWidth="1"/>
    <col min="13855" max="13855" width="7.1796875" style="1" customWidth="1"/>
    <col min="13856" max="13856" width="43.7265625" style="1" customWidth="1"/>
    <col min="13857" max="13857" width="13.81640625" style="1" customWidth="1"/>
    <col min="13858" max="14080" width="11.453125" style="1"/>
    <col min="14081" max="14081" width="3.453125" style="1" customWidth="1"/>
    <col min="14082" max="14082" width="16.26953125" style="1" customWidth="1"/>
    <col min="14083" max="14083" width="16.7265625" style="1" customWidth="1"/>
    <col min="14084" max="14084" width="11.81640625" style="1" customWidth="1"/>
    <col min="14085" max="14085" width="10.54296875" style="1" customWidth="1"/>
    <col min="14086" max="14086" width="13.7265625" style="1" customWidth="1"/>
    <col min="14087" max="14087" width="13.81640625" style="1" customWidth="1"/>
    <col min="14088" max="14088" width="14.7265625" style="1" customWidth="1"/>
    <col min="14089" max="14093" width="10.7265625" style="1" customWidth="1"/>
    <col min="14094" max="14094" width="2.81640625" style="1" customWidth="1"/>
    <col min="14095" max="14099" width="10.54296875" style="1" customWidth="1"/>
    <col min="14100" max="14100" width="2.7265625" style="1" customWidth="1"/>
    <col min="14101" max="14110" width="10.7265625" style="1" customWidth="1"/>
    <col min="14111" max="14111" width="7.1796875" style="1" customWidth="1"/>
    <col min="14112" max="14112" width="43.7265625" style="1" customWidth="1"/>
    <col min="14113" max="14113" width="13.81640625" style="1" customWidth="1"/>
    <col min="14114" max="14336" width="11.453125" style="1"/>
    <col min="14337" max="14337" width="3.453125" style="1" customWidth="1"/>
    <col min="14338" max="14338" width="16.26953125" style="1" customWidth="1"/>
    <col min="14339" max="14339" width="16.7265625" style="1" customWidth="1"/>
    <col min="14340" max="14340" width="11.81640625" style="1" customWidth="1"/>
    <col min="14341" max="14341" width="10.54296875" style="1" customWidth="1"/>
    <col min="14342" max="14342" width="13.7265625" style="1" customWidth="1"/>
    <col min="14343" max="14343" width="13.81640625" style="1" customWidth="1"/>
    <col min="14344" max="14344" width="14.7265625" style="1" customWidth="1"/>
    <col min="14345" max="14349" width="10.7265625" style="1" customWidth="1"/>
    <col min="14350" max="14350" width="2.81640625" style="1" customWidth="1"/>
    <col min="14351" max="14355" width="10.54296875" style="1" customWidth="1"/>
    <col min="14356" max="14356" width="2.7265625" style="1" customWidth="1"/>
    <col min="14357" max="14366" width="10.7265625" style="1" customWidth="1"/>
    <col min="14367" max="14367" width="7.1796875" style="1" customWidth="1"/>
    <col min="14368" max="14368" width="43.7265625" style="1" customWidth="1"/>
    <col min="14369" max="14369" width="13.81640625" style="1" customWidth="1"/>
    <col min="14370" max="14592" width="11.453125" style="1"/>
    <col min="14593" max="14593" width="3.453125" style="1" customWidth="1"/>
    <col min="14594" max="14594" width="16.26953125" style="1" customWidth="1"/>
    <col min="14595" max="14595" width="16.7265625" style="1" customWidth="1"/>
    <col min="14596" max="14596" width="11.81640625" style="1" customWidth="1"/>
    <col min="14597" max="14597" width="10.54296875" style="1" customWidth="1"/>
    <col min="14598" max="14598" width="13.7265625" style="1" customWidth="1"/>
    <col min="14599" max="14599" width="13.81640625" style="1" customWidth="1"/>
    <col min="14600" max="14600" width="14.7265625" style="1" customWidth="1"/>
    <col min="14601" max="14605" width="10.7265625" style="1" customWidth="1"/>
    <col min="14606" max="14606" width="2.81640625" style="1" customWidth="1"/>
    <col min="14607" max="14611" width="10.54296875" style="1" customWidth="1"/>
    <col min="14612" max="14612" width="2.7265625" style="1" customWidth="1"/>
    <col min="14613" max="14622" width="10.7265625" style="1" customWidth="1"/>
    <col min="14623" max="14623" width="7.1796875" style="1" customWidth="1"/>
    <col min="14624" max="14624" width="43.7265625" style="1" customWidth="1"/>
    <col min="14625" max="14625" width="13.81640625" style="1" customWidth="1"/>
    <col min="14626" max="14848" width="11.453125" style="1"/>
    <col min="14849" max="14849" width="3.453125" style="1" customWidth="1"/>
    <col min="14850" max="14850" width="16.26953125" style="1" customWidth="1"/>
    <col min="14851" max="14851" width="16.7265625" style="1" customWidth="1"/>
    <col min="14852" max="14852" width="11.81640625" style="1" customWidth="1"/>
    <col min="14853" max="14853" width="10.54296875" style="1" customWidth="1"/>
    <col min="14854" max="14854" width="13.7265625" style="1" customWidth="1"/>
    <col min="14855" max="14855" width="13.81640625" style="1" customWidth="1"/>
    <col min="14856" max="14856" width="14.7265625" style="1" customWidth="1"/>
    <col min="14857" max="14861" width="10.7265625" style="1" customWidth="1"/>
    <col min="14862" max="14862" width="2.81640625" style="1" customWidth="1"/>
    <col min="14863" max="14867" width="10.54296875" style="1" customWidth="1"/>
    <col min="14868" max="14868" width="2.7265625" style="1" customWidth="1"/>
    <col min="14869" max="14878" width="10.7265625" style="1" customWidth="1"/>
    <col min="14879" max="14879" width="7.1796875" style="1" customWidth="1"/>
    <col min="14880" max="14880" width="43.7265625" style="1" customWidth="1"/>
    <col min="14881" max="14881" width="13.81640625" style="1" customWidth="1"/>
    <col min="14882" max="15104" width="11.453125" style="1"/>
    <col min="15105" max="15105" width="3.453125" style="1" customWidth="1"/>
    <col min="15106" max="15106" width="16.26953125" style="1" customWidth="1"/>
    <col min="15107" max="15107" width="16.7265625" style="1" customWidth="1"/>
    <col min="15108" max="15108" width="11.81640625" style="1" customWidth="1"/>
    <col min="15109" max="15109" width="10.54296875" style="1" customWidth="1"/>
    <col min="15110" max="15110" width="13.7265625" style="1" customWidth="1"/>
    <col min="15111" max="15111" width="13.81640625" style="1" customWidth="1"/>
    <col min="15112" max="15112" width="14.7265625" style="1" customWidth="1"/>
    <col min="15113" max="15117" width="10.7265625" style="1" customWidth="1"/>
    <col min="15118" max="15118" width="2.81640625" style="1" customWidth="1"/>
    <col min="15119" max="15123" width="10.54296875" style="1" customWidth="1"/>
    <col min="15124" max="15124" width="2.7265625" style="1" customWidth="1"/>
    <col min="15125" max="15134" width="10.7265625" style="1" customWidth="1"/>
    <col min="15135" max="15135" width="7.1796875" style="1" customWidth="1"/>
    <col min="15136" max="15136" width="43.7265625" style="1" customWidth="1"/>
    <col min="15137" max="15137" width="13.81640625" style="1" customWidth="1"/>
    <col min="15138" max="15360" width="11.453125" style="1"/>
    <col min="15361" max="15361" width="3.453125" style="1" customWidth="1"/>
    <col min="15362" max="15362" width="16.26953125" style="1" customWidth="1"/>
    <col min="15363" max="15363" width="16.7265625" style="1" customWidth="1"/>
    <col min="15364" max="15364" width="11.81640625" style="1" customWidth="1"/>
    <col min="15365" max="15365" width="10.54296875" style="1" customWidth="1"/>
    <col min="15366" max="15366" width="13.7265625" style="1" customWidth="1"/>
    <col min="15367" max="15367" width="13.81640625" style="1" customWidth="1"/>
    <col min="15368" max="15368" width="14.7265625" style="1" customWidth="1"/>
    <col min="15369" max="15373" width="10.7265625" style="1" customWidth="1"/>
    <col min="15374" max="15374" width="2.81640625" style="1" customWidth="1"/>
    <col min="15375" max="15379" width="10.54296875" style="1" customWidth="1"/>
    <col min="15380" max="15380" width="2.7265625" style="1" customWidth="1"/>
    <col min="15381" max="15390" width="10.7265625" style="1" customWidth="1"/>
    <col min="15391" max="15391" width="7.1796875" style="1" customWidth="1"/>
    <col min="15392" max="15392" width="43.7265625" style="1" customWidth="1"/>
    <col min="15393" max="15393" width="13.81640625" style="1" customWidth="1"/>
    <col min="15394" max="15616" width="11.453125" style="1"/>
    <col min="15617" max="15617" width="3.453125" style="1" customWidth="1"/>
    <col min="15618" max="15618" width="16.26953125" style="1" customWidth="1"/>
    <col min="15619" max="15619" width="16.7265625" style="1" customWidth="1"/>
    <col min="15620" max="15620" width="11.81640625" style="1" customWidth="1"/>
    <col min="15621" max="15621" width="10.54296875" style="1" customWidth="1"/>
    <col min="15622" max="15622" width="13.7265625" style="1" customWidth="1"/>
    <col min="15623" max="15623" width="13.81640625" style="1" customWidth="1"/>
    <col min="15624" max="15624" width="14.7265625" style="1" customWidth="1"/>
    <col min="15625" max="15629" width="10.7265625" style="1" customWidth="1"/>
    <col min="15630" max="15630" width="2.81640625" style="1" customWidth="1"/>
    <col min="15631" max="15635" width="10.54296875" style="1" customWidth="1"/>
    <col min="15636" max="15636" width="2.7265625" style="1" customWidth="1"/>
    <col min="15637" max="15646" width="10.7265625" style="1" customWidth="1"/>
    <col min="15647" max="15647" width="7.1796875" style="1" customWidth="1"/>
    <col min="15648" max="15648" width="43.7265625" style="1" customWidth="1"/>
    <col min="15649" max="15649" width="13.81640625" style="1" customWidth="1"/>
    <col min="15650" max="15872" width="11.453125" style="1"/>
    <col min="15873" max="15873" width="3.453125" style="1" customWidth="1"/>
    <col min="15874" max="15874" width="16.26953125" style="1" customWidth="1"/>
    <col min="15875" max="15875" width="16.7265625" style="1" customWidth="1"/>
    <col min="15876" max="15876" width="11.81640625" style="1" customWidth="1"/>
    <col min="15877" max="15877" width="10.54296875" style="1" customWidth="1"/>
    <col min="15878" max="15878" width="13.7265625" style="1" customWidth="1"/>
    <col min="15879" max="15879" width="13.81640625" style="1" customWidth="1"/>
    <col min="15880" max="15880" width="14.7265625" style="1" customWidth="1"/>
    <col min="15881" max="15885" width="10.7265625" style="1" customWidth="1"/>
    <col min="15886" max="15886" width="2.81640625" style="1" customWidth="1"/>
    <col min="15887" max="15891" width="10.54296875" style="1" customWidth="1"/>
    <col min="15892" max="15892" width="2.7265625" style="1" customWidth="1"/>
    <col min="15893" max="15902" width="10.7265625" style="1" customWidth="1"/>
    <col min="15903" max="15903" width="7.1796875" style="1" customWidth="1"/>
    <col min="15904" max="15904" width="43.7265625" style="1" customWidth="1"/>
    <col min="15905" max="15905" width="13.81640625" style="1" customWidth="1"/>
    <col min="15906" max="16128" width="11.453125" style="1"/>
    <col min="16129" max="16129" width="3.453125" style="1" customWidth="1"/>
    <col min="16130" max="16130" width="16.26953125" style="1" customWidth="1"/>
    <col min="16131" max="16131" width="16.7265625" style="1" customWidth="1"/>
    <col min="16132" max="16132" width="11.81640625" style="1" customWidth="1"/>
    <col min="16133" max="16133" width="10.54296875" style="1" customWidth="1"/>
    <col min="16134" max="16134" width="13.7265625" style="1" customWidth="1"/>
    <col min="16135" max="16135" width="13.81640625" style="1" customWidth="1"/>
    <col min="16136" max="16136" width="14.7265625" style="1" customWidth="1"/>
    <col min="16137" max="16141" width="10.7265625" style="1" customWidth="1"/>
    <col min="16142" max="16142" width="2.81640625" style="1" customWidth="1"/>
    <col min="16143" max="16147" width="10.54296875" style="1" customWidth="1"/>
    <col min="16148" max="16148" width="2.7265625" style="1" customWidth="1"/>
    <col min="16149" max="16158" width="10.7265625" style="1" customWidth="1"/>
    <col min="16159" max="16159" width="7.1796875" style="1" customWidth="1"/>
    <col min="16160" max="16160" width="43.7265625" style="1" customWidth="1"/>
    <col min="16161" max="16161" width="13.81640625" style="1" customWidth="1"/>
    <col min="16162" max="16384" width="11.453125" style="1"/>
  </cols>
  <sheetData>
    <row r="1" spans="1:33" ht="12" thickBot="1" x14ac:dyDescent="0.3"/>
    <row r="2" spans="1:33" ht="18.649999999999999" customHeight="1" thickBot="1" x14ac:dyDescent="0.3">
      <c r="C2" s="5" t="s">
        <v>130</v>
      </c>
      <c r="E2" s="1"/>
      <c r="F2" s="1"/>
      <c r="G2" s="1"/>
      <c r="H2" s="1"/>
      <c r="J2" s="372" t="s">
        <v>131</v>
      </c>
      <c r="K2" s="373"/>
      <c r="L2" s="373"/>
      <c r="M2" s="373"/>
      <c r="N2" s="373"/>
      <c r="O2" s="373"/>
      <c r="P2" s="373"/>
      <c r="Q2" s="373"/>
      <c r="R2" s="373"/>
      <c r="S2" s="373"/>
      <c r="T2" s="373"/>
      <c r="U2" s="373"/>
      <c r="V2" s="373"/>
      <c r="W2" s="373"/>
      <c r="X2" s="373"/>
      <c r="Y2" s="373"/>
      <c r="Z2" s="373"/>
      <c r="AA2" s="373"/>
      <c r="AB2" s="373"/>
      <c r="AC2" s="373"/>
      <c r="AD2" s="373"/>
      <c r="AE2" s="373"/>
      <c r="AF2" s="24"/>
      <c r="AG2" s="6"/>
    </row>
    <row r="3" spans="1:33" ht="18.649999999999999" customHeight="1" x14ac:dyDescent="0.3">
      <c r="B3" s="7" t="s">
        <v>0</v>
      </c>
      <c r="C3" s="8"/>
      <c r="E3" s="1"/>
      <c r="F3" s="1"/>
      <c r="G3" s="1"/>
      <c r="H3" s="1"/>
      <c r="I3" s="3">
        <f>23*0.8</f>
        <v>18.400000000000002</v>
      </c>
      <c r="J3" s="374"/>
      <c r="K3" s="375"/>
      <c r="L3" s="375"/>
      <c r="M3" s="375"/>
      <c r="N3" s="375"/>
      <c r="O3" s="375"/>
      <c r="P3" s="375"/>
      <c r="Q3" s="375"/>
      <c r="R3" s="375"/>
      <c r="S3" s="375"/>
      <c r="T3" s="375"/>
      <c r="U3" s="375"/>
      <c r="V3" s="375"/>
      <c r="W3" s="375"/>
      <c r="X3" s="375"/>
      <c r="Y3" s="375"/>
      <c r="Z3" s="375"/>
      <c r="AA3" s="375"/>
      <c r="AB3" s="375"/>
      <c r="AC3" s="375"/>
      <c r="AD3" s="375"/>
      <c r="AE3" s="375"/>
      <c r="AF3" s="24"/>
      <c r="AG3" s="6"/>
    </row>
    <row r="4" spans="1:33" ht="19.899999999999999" customHeight="1" x14ac:dyDescent="0.25">
      <c r="B4" s="9" t="s">
        <v>163</v>
      </c>
      <c r="C4" s="10"/>
      <c r="E4" s="1"/>
      <c r="F4" s="1"/>
      <c r="G4" s="1"/>
      <c r="H4" s="1"/>
      <c r="J4" s="374"/>
      <c r="K4" s="375"/>
      <c r="L4" s="375"/>
      <c r="M4" s="375"/>
      <c r="N4" s="375"/>
      <c r="O4" s="375"/>
      <c r="P4" s="375"/>
      <c r="Q4" s="375"/>
      <c r="R4" s="375"/>
      <c r="S4" s="375"/>
      <c r="T4" s="375"/>
      <c r="U4" s="375"/>
      <c r="V4" s="375"/>
      <c r="W4" s="375"/>
      <c r="X4" s="375"/>
      <c r="Y4" s="375"/>
      <c r="Z4" s="375"/>
      <c r="AA4" s="375"/>
      <c r="AB4" s="375"/>
      <c r="AC4" s="375"/>
      <c r="AD4" s="375"/>
      <c r="AE4" s="375"/>
      <c r="AF4" s="24"/>
    </row>
    <row r="5" spans="1:33" ht="19.899999999999999" customHeight="1" thickBot="1" x14ac:dyDescent="0.35">
      <c r="B5" s="11" t="s">
        <v>15</v>
      </c>
      <c r="C5" s="12"/>
      <c r="E5" s="13"/>
      <c r="F5" s="13"/>
      <c r="G5" s="13"/>
      <c r="H5" s="13"/>
      <c r="I5" s="3">
        <f>218/13</f>
        <v>16.76923076923077</v>
      </c>
      <c r="J5" s="374"/>
      <c r="K5" s="375"/>
      <c r="L5" s="375"/>
      <c r="M5" s="375"/>
      <c r="N5" s="375"/>
      <c r="O5" s="375"/>
      <c r="P5" s="375"/>
      <c r="Q5" s="375"/>
      <c r="R5" s="375"/>
      <c r="S5" s="375"/>
      <c r="T5" s="375"/>
      <c r="U5" s="375"/>
      <c r="V5" s="375"/>
      <c r="W5" s="375"/>
      <c r="X5" s="375"/>
      <c r="Y5" s="375"/>
      <c r="Z5" s="375"/>
      <c r="AA5" s="375"/>
      <c r="AB5" s="375"/>
      <c r="AC5" s="375"/>
      <c r="AD5" s="375"/>
      <c r="AE5" s="375"/>
      <c r="AF5" s="24"/>
      <c r="AG5" s="1"/>
    </row>
    <row r="6" spans="1:33" ht="13.5" customHeight="1" thickBot="1" x14ac:dyDescent="0.3">
      <c r="A6" s="14"/>
      <c r="B6" s="14"/>
      <c r="C6" s="14"/>
      <c r="D6" s="14"/>
      <c r="E6" s="14"/>
      <c r="F6" s="14"/>
      <c r="G6" s="14"/>
      <c r="H6" s="14"/>
      <c r="J6" s="374"/>
      <c r="K6" s="375"/>
      <c r="L6" s="375"/>
      <c r="M6" s="375"/>
      <c r="N6" s="375"/>
      <c r="O6" s="375"/>
      <c r="P6" s="375"/>
      <c r="Q6" s="375"/>
      <c r="R6" s="375"/>
      <c r="S6" s="375"/>
      <c r="T6" s="375"/>
      <c r="U6" s="375"/>
      <c r="V6" s="375"/>
      <c r="W6" s="375"/>
      <c r="X6" s="375"/>
      <c r="Y6" s="375"/>
      <c r="Z6" s="375"/>
      <c r="AA6" s="375"/>
      <c r="AB6" s="375"/>
      <c r="AC6" s="375"/>
      <c r="AD6" s="375"/>
      <c r="AE6" s="375"/>
      <c r="AF6" s="24"/>
      <c r="AG6" s="1"/>
    </row>
    <row r="7" spans="1:33" ht="13.5" customHeight="1" thickBot="1" x14ac:dyDescent="0.3">
      <c r="B7" s="234" t="s">
        <v>132</v>
      </c>
      <c r="C7" s="235"/>
      <c r="D7" s="235"/>
      <c r="E7" s="15" t="s">
        <v>133</v>
      </c>
      <c r="F7" s="16" t="s">
        <v>134</v>
      </c>
      <c r="G7" s="17" t="s">
        <v>135</v>
      </c>
      <c r="H7" s="14"/>
      <c r="I7" s="3">
        <f>17/13</f>
        <v>1.3076923076923077</v>
      </c>
      <c r="J7" s="374"/>
      <c r="K7" s="375"/>
      <c r="L7" s="375"/>
      <c r="M7" s="375"/>
      <c r="N7" s="375"/>
      <c r="O7" s="375"/>
      <c r="P7" s="375"/>
      <c r="Q7" s="375"/>
      <c r="R7" s="375"/>
      <c r="S7" s="375"/>
      <c r="T7" s="375"/>
      <c r="U7" s="375"/>
      <c r="V7" s="375"/>
      <c r="W7" s="375"/>
      <c r="X7" s="375"/>
      <c r="Y7" s="375"/>
      <c r="Z7" s="375"/>
      <c r="AA7" s="375"/>
      <c r="AB7" s="375"/>
      <c r="AC7" s="375"/>
      <c r="AD7" s="375"/>
      <c r="AE7" s="375"/>
      <c r="AF7" s="24"/>
      <c r="AG7" s="1"/>
    </row>
    <row r="8" spans="1:33" ht="16.899999999999999" customHeight="1" thickBot="1" x14ac:dyDescent="0.3">
      <c r="B8" s="227" t="str">
        <f>E13</f>
        <v xml:space="preserve">Version vh 1 </v>
      </c>
      <c r="C8" s="226"/>
      <c r="D8" s="225" t="str">
        <f>E14</f>
        <v>Base</v>
      </c>
      <c r="E8" s="18">
        <f>J122</f>
        <v>0</v>
      </c>
      <c r="F8" s="19">
        <f>R122</f>
        <v>0</v>
      </c>
      <c r="G8" s="20">
        <f>Y122</f>
        <v>0</v>
      </c>
      <c r="H8" s="14"/>
      <c r="J8" s="374"/>
      <c r="K8" s="375"/>
      <c r="L8" s="375"/>
      <c r="M8" s="375"/>
      <c r="N8" s="375"/>
      <c r="O8" s="375"/>
      <c r="P8" s="375"/>
      <c r="Q8" s="375"/>
      <c r="R8" s="375"/>
      <c r="S8" s="375"/>
      <c r="T8" s="375"/>
      <c r="U8" s="375"/>
      <c r="V8" s="375"/>
      <c r="W8" s="375"/>
      <c r="X8" s="375"/>
      <c r="Y8" s="375"/>
      <c r="Z8" s="375"/>
      <c r="AA8" s="375"/>
      <c r="AB8" s="375"/>
      <c r="AC8" s="375"/>
      <c r="AD8" s="375"/>
      <c r="AE8" s="375"/>
      <c r="AF8" s="24"/>
      <c r="AG8" s="1"/>
    </row>
    <row r="9" spans="1:33" ht="16.899999999999999" customHeight="1" thickBot="1" x14ac:dyDescent="0.3">
      <c r="B9" s="227" t="str">
        <f>E13</f>
        <v xml:space="preserve">Version vh 1 </v>
      </c>
      <c r="C9" s="226"/>
      <c r="D9" s="225" t="str">
        <f>F14</f>
        <v>Upper</v>
      </c>
      <c r="E9" s="21">
        <f>J119</f>
        <v>0</v>
      </c>
      <c r="F9" s="22">
        <f>R119</f>
        <v>0</v>
      </c>
      <c r="G9" s="23">
        <f>Y119</f>
        <v>0</v>
      </c>
      <c r="H9" s="14"/>
      <c r="I9" s="3">
        <f>I10*13.5</f>
        <v>37.26</v>
      </c>
      <c r="J9" s="374"/>
      <c r="K9" s="375"/>
      <c r="L9" s="375"/>
      <c r="M9" s="375"/>
      <c r="N9" s="375"/>
      <c r="O9" s="375"/>
      <c r="P9" s="375"/>
      <c r="Q9" s="375"/>
      <c r="R9" s="375"/>
      <c r="S9" s="375"/>
      <c r="T9" s="375"/>
      <c r="U9" s="375"/>
      <c r="V9" s="375"/>
      <c r="W9" s="375"/>
      <c r="X9" s="375"/>
      <c r="Y9" s="375"/>
      <c r="Z9" s="375"/>
      <c r="AA9" s="375"/>
      <c r="AB9" s="375"/>
      <c r="AC9" s="375"/>
      <c r="AD9" s="375"/>
      <c r="AE9" s="375"/>
      <c r="AF9" s="24"/>
      <c r="AG9" s="1"/>
    </row>
    <row r="10" spans="1:33" ht="16.899999999999999" customHeight="1" thickBot="1" x14ac:dyDescent="0.3">
      <c r="B10" s="227" t="str">
        <f>G13</f>
        <v>Version vh 2</v>
      </c>
      <c r="C10" s="226"/>
      <c r="D10" s="225" t="str">
        <f>G14</f>
        <v>Base</v>
      </c>
      <c r="E10" s="21">
        <f>J128</f>
        <v>0</v>
      </c>
      <c r="F10" s="22">
        <f>R128</f>
        <v>0</v>
      </c>
      <c r="G10" s="23">
        <f>Y128</f>
        <v>0</v>
      </c>
      <c r="H10" s="14"/>
      <c r="I10" s="3">
        <f>23*0.12</f>
        <v>2.76</v>
      </c>
      <c r="J10" s="374"/>
      <c r="K10" s="375"/>
      <c r="L10" s="375"/>
      <c r="M10" s="375"/>
      <c r="N10" s="375"/>
      <c r="O10" s="375"/>
      <c r="P10" s="375"/>
      <c r="Q10" s="375"/>
      <c r="R10" s="375"/>
      <c r="S10" s="375"/>
      <c r="T10" s="375"/>
      <c r="U10" s="375"/>
      <c r="V10" s="375"/>
      <c r="W10" s="375"/>
      <c r="X10" s="375"/>
      <c r="Y10" s="375"/>
      <c r="Z10" s="375"/>
      <c r="AA10" s="375"/>
      <c r="AB10" s="375"/>
      <c r="AC10" s="375"/>
      <c r="AD10" s="375"/>
      <c r="AE10" s="375"/>
      <c r="AF10" s="24"/>
      <c r="AG10" s="1"/>
    </row>
    <row r="11" spans="1:33" ht="16.899999999999999" customHeight="1" thickBot="1" x14ac:dyDescent="0.3">
      <c r="B11" s="227" t="str">
        <f>G13</f>
        <v>Version vh 2</v>
      </c>
      <c r="C11" s="226"/>
      <c r="D11" s="225" t="str">
        <f>H14</f>
        <v>Upper</v>
      </c>
      <c r="E11" s="21">
        <f>J125</f>
        <v>0</v>
      </c>
      <c r="F11" s="22">
        <f>R125</f>
        <v>0</v>
      </c>
      <c r="G11" s="23">
        <f>Y125</f>
        <v>0</v>
      </c>
      <c r="H11" s="14"/>
      <c r="J11" s="376"/>
      <c r="K11" s="377"/>
      <c r="L11" s="377"/>
      <c r="M11" s="377"/>
      <c r="N11" s="377"/>
      <c r="O11" s="377"/>
      <c r="P11" s="377"/>
      <c r="Q11" s="377"/>
      <c r="R11" s="377"/>
      <c r="S11" s="377"/>
      <c r="T11" s="377"/>
      <c r="U11" s="377"/>
      <c r="V11" s="377"/>
      <c r="W11" s="377"/>
      <c r="X11" s="377"/>
      <c r="Y11" s="377"/>
      <c r="Z11" s="377"/>
      <c r="AA11" s="377"/>
      <c r="AB11" s="377"/>
      <c r="AC11" s="377"/>
      <c r="AD11" s="377"/>
      <c r="AE11" s="377"/>
      <c r="AF11" s="24"/>
      <c r="AG11" s="1"/>
    </row>
    <row r="12" spans="1:33" s="24" customFormat="1" ht="12" thickBot="1" x14ac:dyDescent="0.25">
      <c r="B12" s="233"/>
      <c r="C12" s="233"/>
      <c r="D12" s="233"/>
      <c r="E12" s="13"/>
      <c r="F12" s="13"/>
      <c r="G12" s="13"/>
      <c r="H12" s="13"/>
      <c r="I12" s="25"/>
      <c r="AG12" s="1"/>
    </row>
    <row r="13" spans="1:33" s="24" customFormat="1" ht="21.65" customHeight="1" thickBot="1" x14ac:dyDescent="0.25">
      <c r="B13" s="219" t="s">
        <v>18</v>
      </c>
      <c r="C13" s="220"/>
      <c r="D13" s="220"/>
      <c r="E13" s="359" t="s">
        <v>136</v>
      </c>
      <c r="F13" s="360"/>
      <c r="G13" s="359" t="s">
        <v>137</v>
      </c>
      <c r="H13" s="360"/>
      <c r="I13" s="392" t="s">
        <v>20</v>
      </c>
      <c r="J13" s="394" t="s">
        <v>133</v>
      </c>
      <c r="K13" s="379"/>
      <c r="L13" s="379"/>
      <c r="M13" s="379"/>
      <c r="N13" s="379"/>
      <c r="O13" s="379"/>
      <c r="P13" s="380"/>
      <c r="Q13" s="267"/>
      <c r="R13" s="381" t="s">
        <v>134</v>
      </c>
      <c r="S13" s="382"/>
      <c r="T13" s="382"/>
      <c r="U13" s="382"/>
      <c r="V13" s="382"/>
      <c r="W13" s="383"/>
      <c r="X13" s="267"/>
      <c r="Y13" s="384" t="s">
        <v>135</v>
      </c>
      <c r="Z13" s="385"/>
      <c r="AA13" s="385"/>
      <c r="AB13" s="385"/>
      <c r="AC13" s="385"/>
      <c r="AD13" s="386"/>
      <c r="AE13" s="342" t="s">
        <v>22</v>
      </c>
      <c r="AF13" s="357" t="s">
        <v>17</v>
      </c>
      <c r="AG13" s="1"/>
    </row>
    <row r="14" spans="1:33" ht="36" customHeight="1" thickBot="1" x14ac:dyDescent="0.25">
      <c r="B14" s="222"/>
      <c r="C14" s="223"/>
      <c r="D14" s="223"/>
      <c r="E14" s="26" t="s">
        <v>106</v>
      </c>
      <c r="F14" s="27" t="s">
        <v>104</v>
      </c>
      <c r="G14" s="26" t="s">
        <v>106</v>
      </c>
      <c r="H14" s="27" t="s">
        <v>104</v>
      </c>
      <c r="I14" s="393"/>
      <c r="J14" s="264" t="s">
        <v>138</v>
      </c>
      <c r="K14" s="265" t="s">
        <v>139</v>
      </c>
      <c r="L14" s="265" t="s">
        <v>140</v>
      </c>
      <c r="M14" s="265" t="s">
        <v>141</v>
      </c>
      <c r="N14" s="265" t="s">
        <v>142</v>
      </c>
      <c r="O14" s="265" t="s">
        <v>143</v>
      </c>
      <c r="P14" s="265" t="s">
        <v>31</v>
      </c>
      <c r="Q14" s="268"/>
      <c r="R14" s="266" t="s">
        <v>27</v>
      </c>
      <c r="S14" s="266" t="s">
        <v>144</v>
      </c>
      <c r="T14" s="263" t="s">
        <v>141</v>
      </c>
      <c r="U14" s="263" t="s">
        <v>145</v>
      </c>
      <c r="V14" s="263" t="s">
        <v>30</v>
      </c>
      <c r="W14" s="263" t="s">
        <v>31</v>
      </c>
      <c r="X14" s="268"/>
      <c r="Y14" s="266" t="s">
        <v>27</v>
      </c>
      <c r="Z14" s="266" t="s">
        <v>144</v>
      </c>
      <c r="AA14" s="263" t="s">
        <v>141</v>
      </c>
      <c r="AB14" s="263" t="s">
        <v>145</v>
      </c>
      <c r="AC14" s="263" t="s">
        <v>30</v>
      </c>
      <c r="AD14" s="263" t="s">
        <v>31</v>
      </c>
      <c r="AE14" s="391"/>
      <c r="AF14" s="378"/>
      <c r="AG14" s="1"/>
    </row>
    <row r="15" spans="1:33" ht="13.15" customHeight="1" x14ac:dyDescent="0.25">
      <c r="B15" s="215" t="s">
        <v>32</v>
      </c>
      <c r="C15" s="216"/>
      <c r="D15" s="216"/>
      <c r="E15" s="28"/>
      <c r="F15" s="28"/>
      <c r="G15" s="28"/>
      <c r="H15" s="28"/>
      <c r="I15" s="29"/>
      <c r="J15" s="30"/>
      <c r="K15" s="31"/>
      <c r="L15" s="31"/>
      <c r="M15" s="31"/>
      <c r="N15" s="31"/>
      <c r="O15" s="31"/>
      <c r="P15" s="31"/>
      <c r="Q15" s="31"/>
      <c r="R15" s="31"/>
      <c r="S15" s="31"/>
      <c r="T15" s="31"/>
      <c r="U15" s="31"/>
      <c r="V15" s="31"/>
      <c r="W15" s="31"/>
      <c r="X15" s="31"/>
      <c r="Y15" s="31"/>
      <c r="Z15" s="31"/>
      <c r="AA15" s="31"/>
      <c r="AB15" s="31"/>
      <c r="AC15" s="31"/>
      <c r="AD15" s="31"/>
      <c r="AE15" s="32"/>
      <c r="AF15" s="33"/>
      <c r="AG15" s="1"/>
    </row>
    <row r="16" spans="1:33" ht="13.15" customHeight="1" x14ac:dyDescent="0.3">
      <c r="B16" s="230" t="s">
        <v>33</v>
      </c>
      <c r="C16" s="207"/>
      <c r="D16" s="207"/>
      <c r="E16" s="300"/>
      <c r="F16" s="300"/>
      <c r="G16" s="300"/>
      <c r="H16" s="300"/>
      <c r="I16" s="291">
        <v>0</v>
      </c>
      <c r="J16" s="35">
        <v>1</v>
      </c>
      <c r="K16" s="35">
        <v>1</v>
      </c>
      <c r="L16" s="35">
        <v>1</v>
      </c>
      <c r="M16" s="35">
        <v>1</v>
      </c>
      <c r="N16" s="35">
        <v>1</v>
      </c>
      <c r="O16" s="35">
        <v>1</v>
      </c>
      <c r="P16" s="35">
        <v>1</v>
      </c>
      <c r="Q16" s="36"/>
      <c r="R16" s="35">
        <v>1</v>
      </c>
      <c r="S16" s="35">
        <v>1</v>
      </c>
      <c r="T16" s="35">
        <v>1</v>
      </c>
      <c r="U16" s="35">
        <v>1</v>
      </c>
      <c r="V16" s="35">
        <v>1</v>
      </c>
      <c r="W16" s="35">
        <v>1</v>
      </c>
      <c r="X16" s="36">
        <v>1</v>
      </c>
      <c r="Y16" s="35">
        <v>1</v>
      </c>
      <c r="Z16" s="35">
        <v>1</v>
      </c>
      <c r="AA16" s="35">
        <v>1</v>
      </c>
      <c r="AB16" s="35">
        <v>1</v>
      </c>
      <c r="AC16" s="35">
        <v>1</v>
      </c>
      <c r="AD16" s="35">
        <v>1</v>
      </c>
      <c r="AE16" s="37">
        <v>0</v>
      </c>
      <c r="AF16" s="38"/>
      <c r="AG16" s="1"/>
    </row>
    <row r="17" spans="2:33" ht="13.15" customHeight="1" x14ac:dyDescent="0.3">
      <c r="B17" s="213" t="s">
        <v>34</v>
      </c>
      <c r="C17" s="207"/>
      <c r="D17" s="207"/>
      <c r="E17" s="300"/>
      <c r="F17" s="300"/>
      <c r="G17" s="300"/>
      <c r="H17" s="300"/>
      <c r="I17" s="291">
        <v>0</v>
      </c>
      <c r="J17" s="35">
        <v>1</v>
      </c>
      <c r="K17" s="35">
        <v>1</v>
      </c>
      <c r="L17" s="35">
        <v>1</v>
      </c>
      <c r="M17" s="35">
        <v>1</v>
      </c>
      <c r="N17" s="35">
        <v>1</v>
      </c>
      <c r="O17" s="35">
        <v>1</v>
      </c>
      <c r="P17" s="35">
        <v>1</v>
      </c>
      <c r="Q17" s="36"/>
      <c r="R17" s="35">
        <v>1</v>
      </c>
      <c r="S17" s="35">
        <v>1</v>
      </c>
      <c r="T17" s="35">
        <v>1</v>
      </c>
      <c r="U17" s="35">
        <v>1</v>
      </c>
      <c r="V17" s="35">
        <v>1</v>
      </c>
      <c r="W17" s="35">
        <v>1</v>
      </c>
      <c r="X17" s="36">
        <v>1</v>
      </c>
      <c r="Y17" s="35">
        <v>1</v>
      </c>
      <c r="Z17" s="35">
        <v>1</v>
      </c>
      <c r="AA17" s="35">
        <v>1</v>
      </c>
      <c r="AB17" s="35">
        <v>1</v>
      </c>
      <c r="AC17" s="35">
        <v>1</v>
      </c>
      <c r="AD17" s="35">
        <v>1</v>
      </c>
      <c r="AE17" s="37">
        <v>0</v>
      </c>
      <c r="AF17" s="38"/>
      <c r="AG17" s="1"/>
    </row>
    <row r="18" spans="2:33" ht="13.15" customHeight="1" x14ac:dyDescent="0.3">
      <c r="B18" s="213" t="s">
        <v>35</v>
      </c>
      <c r="C18" s="207"/>
      <c r="D18" s="207"/>
      <c r="E18" s="300"/>
      <c r="F18" s="300"/>
      <c r="G18" s="300"/>
      <c r="H18" s="300"/>
      <c r="I18" s="291">
        <v>0</v>
      </c>
      <c r="J18" s="35">
        <v>1</v>
      </c>
      <c r="K18" s="35">
        <v>1</v>
      </c>
      <c r="L18" s="35">
        <v>1</v>
      </c>
      <c r="M18" s="35">
        <v>1</v>
      </c>
      <c r="N18" s="35">
        <v>1</v>
      </c>
      <c r="O18" s="35">
        <v>1</v>
      </c>
      <c r="P18" s="35">
        <v>1</v>
      </c>
      <c r="Q18" s="40"/>
      <c r="R18" s="35">
        <v>1</v>
      </c>
      <c r="S18" s="35">
        <v>1</v>
      </c>
      <c r="T18" s="35">
        <v>1</v>
      </c>
      <c r="U18" s="35">
        <v>1</v>
      </c>
      <c r="V18" s="35">
        <v>1</v>
      </c>
      <c r="W18" s="35">
        <v>1</v>
      </c>
      <c r="X18" s="36">
        <v>1</v>
      </c>
      <c r="Y18" s="35">
        <v>1</v>
      </c>
      <c r="Z18" s="35">
        <v>1</v>
      </c>
      <c r="AA18" s="35">
        <v>1</v>
      </c>
      <c r="AB18" s="35">
        <v>1</v>
      </c>
      <c r="AC18" s="35">
        <v>1</v>
      </c>
      <c r="AD18" s="35">
        <v>1</v>
      </c>
      <c r="AE18" s="41">
        <v>0.1</v>
      </c>
      <c r="AF18" s="38"/>
      <c r="AG18" s="1"/>
    </row>
    <row r="19" spans="2:33" ht="13.15" customHeight="1" x14ac:dyDescent="0.3">
      <c r="B19" s="230" t="s">
        <v>36</v>
      </c>
      <c r="C19" s="207"/>
      <c r="D19" s="207"/>
      <c r="E19" s="300"/>
      <c r="F19" s="300"/>
      <c r="G19" s="300"/>
      <c r="H19" s="300"/>
      <c r="I19" s="291">
        <v>0</v>
      </c>
      <c r="J19" s="35">
        <v>1</v>
      </c>
      <c r="K19" s="35">
        <v>1</v>
      </c>
      <c r="L19" s="35">
        <v>1</v>
      </c>
      <c r="M19" s="35">
        <v>1</v>
      </c>
      <c r="N19" s="35">
        <v>1</v>
      </c>
      <c r="O19" s="35">
        <v>1</v>
      </c>
      <c r="P19" s="35">
        <v>1</v>
      </c>
      <c r="Q19" s="40"/>
      <c r="R19" s="35">
        <v>1</v>
      </c>
      <c r="S19" s="35">
        <v>1</v>
      </c>
      <c r="T19" s="35">
        <v>1</v>
      </c>
      <c r="U19" s="35">
        <v>1</v>
      </c>
      <c r="V19" s="35">
        <v>1</v>
      </c>
      <c r="W19" s="35">
        <v>1</v>
      </c>
      <c r="X19" s="36">
        <v>1</v>
      </c>
      <c r="Y19" s="35">
        <v>1</v>
      </c>
      <c r="Z19" s="35">
        <v>1</v>
      </c>
      <c r="AA19" s="35">
        <v>1</v>
      </c>
      <c r="AB19" s="35">
        <v>1</v>
      </c>
      <c r="AC19" s="35">
        <v>1</v>
      </c>
      <c r="AD19" s="35">
        <v>1</v>
      </c>
      <c r="AE19" s="41">
        <v>0.1</v>
      </c>
      <c r="AF19" s="38"/>
      <c r="AG19" s="1"/>
    </row>
    <row r="20" spans="2:33" ht="13.15" customHeight="1" x14ac:dyDescent="0.3">
      <c r="B20" s="230" t="s">
        <v>37</v>
      </c>
      <c r="C20" s="218"/>
      <c r="D20" s="218"/>
      <c r="E20" s="300"/>
      <c r="F20" s="300"/>
      <c r="G20" s="300"/>
      <c r="H20" s="300"/>
      <c r="I20" s="291">
        <v>0</v>
      </c>
      <c r="J20" s="35">
        <v>0</v>
      </c>
      <c r="K20" s="35">
        <v>0</v>
      </c>
      <c r="L20" s="35">
        <v>0</v>
      </c>
      <c r="M20" s="35">
        <v>0</v>
      </c>
      <c r="N20" s="35">
        <v>0</v>
      </c>
      <c r="O20" s="35">
        <v>0</v>
      </c>
      <c r="P20" s="35">
        <v>0</v>
      </c>
      <c r="Q20" s="36"/>
      <c r="R20" s="35">
        <v>0</v>
      </c>
      <c r="S20" s="35">
        <v>0</v>
      </c>
      <c r="T20" s="35">
        <v>0</v>
      </c>
      <c r="U20" s="35">
        <v>0</v>
      </c>
      <c r="V20" s="35">
        <v>0</v>
      </c>
      <c r="W20" s="35">
        <v>0</v>
      </c>
      <c r="X20" s="36"/>
      <c r="Y20" s="35">
        <v>0</v>
      </c>
      <c r="Z20" s="35">
        <v>0</v>
      </c>
      <c r="AA20" s="35">
        <v>0</v>
      </c>
      <c r="AB20" s="35">
        <v>0</v>
      </c>
      <c r="AC20" s="35">
        <v>0</v>
      </c>
      <c r="AD20" s="35">
        <v>0</v>
      </c>
      <c r="AE20" s="37">
        <v>0</v>
      </c>
      <c r="AF20" s="43"/>
      <c r="AG20" s="1"/>
    </row>
    <row r="21" spans="2:33" ht="13.15" customHeight="1" x14ac:dyDescent="0.3">
      <c r="B21" s="230" t="s">
        <v>38</v>
      </c>
      <c r="C21" s="207"/>
      <c r="D21" s="207"/>
      <c r="E21" s="300"/>
      <c r="F21" s="300"/>
      <c r="G21" s="300"/>
      <c r="H21" s="300"/>
      <c r="I21" s="291">
        <v>0</v>
      </c>
      <c r="J21" s="39">
        <v>1</v>
      </c>
      <c r="K21" s="39">
        <v>1</v>
      </c>
      <c r="L21" s="39">
        <v>1</v>
      </c>
      <c r="M21" s="39">
        <v>1</v>
      </c>
      <c r="N21" s="39">
        <v>1</v>
      </c>
      <c r="O21" s="39">
        <v>1</v>
      </c>
      <c r="P21" s="39">
        <v>1</v>
      </c>
      <c r="Q21" s="36"/>
      <c r="R21" s="39">
        <v>1</v>
      </c>
      <c r="S21" s="39">
        <v>1</v>
      </c>
      <c r="T21" s="39">
        <v>1</v>
      </c>
      <c r="U21" s="39">
        <v>1</v>
      </c>
      <c r="V21" s="39">
        <v>1</v>
      </c>
      <c r="W21" s="39">
        <v>1</v>
      </c>
      <c r="X21" s="40">
        <v>0.3</v>
      </c>
      <c r="Y21" s="39">
        <v>1</v>
      </c>
      <c r="Z21" s="39">
        <v>1</v>
      </c>
      <c r="AA21" s="39">
        <v>1</v>
      </c>
      <c r="AB21" s="39">
        <v>1</v>
      </c>
      <c r="AC21" s="39">
        <v>1</v>
      </c>
      <c r="AD21" s="39">
        <v>1</v>
      </c>
      <c r="AE21" s="41">
        <v>0.1</v>
      </c>
      <c r="AF21" s="38"/>
      <c r="AG21" s="1"/>
    </row>
    <row r="22" spans="2:33" ht="13.15" customHeight="1" x14ac:dyDescent="0.3">
      <c r="B22" s="230" t="s">
        <v>39</v>
      </c>
      <c r="C22" s="207"/>
      <c r="D22" s="207"/>
      <c r="E22" s="300"/>
      <c r="F22" s="300"/>
      <c r="G22" s="300"/>
      <c r="H22" s="300"/>
      <c r="I22" s="291">
        <v>0</v>
      </c>
      <c r="J22" s="35">
        <v>0</v>
      </c>
      <c r="K22" s="35">
        <v>0</v>
      </c>
      <c r="L22" s="35">
        <v>0</v>
      </c>
      <c r="M22" s="35">
        <v>0</v>
      </c>
      <c r="N22" s="35">
        <v>0</v>
      </c>
      <c r="O22" s="35">
        <v>0</v>
      </c>
      <c r="P22" s="35">
        <v>0</v>
      </c>
      <c r="Q22" s="36"/>
      <c r="R22" s="35">
        <v>0</v>
      </c>
      <c r="S22" s="35">
        <v>0</v>
      </c>
      <c r="T22" s="35">
        <v>0</v>
      </c>
      <c r="U22" s="35">
        <v>0</v>
      </c>
      <c r="V22" s="35">
        <v>0</v>
      </c>
      <c r="W22" s="35">
        <v>0</v>
      </c>
      <c r="X22" s="40"/>
      <c r="Y22" s="35">
        <v>0</v>
      </c>
      <c r="Z22" s="35">
        <v>0</v>
      </c>
      <c r="AA22" s="35">
        <v>0</v>
      </c>
      <c r="AB22" s="35">
        <v>0</v>
      </c>
      <c r="AC22" s="35">
        <v>0</v>
      </c>
      <c r="AD22" s="35">
        <v>0</v>
      </c>
      <c r="AE22" s="41">
        <v>0.1</v>
      </c>
      <c r="AF22" s="38"/>
      <c r="AG22" s="1"/>
    </row>
    <row r="23" spans="2:33" ht="13.15" customHeight="1" x14ac:dyDescent="0.3">
      <c r="B23" s="230" t="s">
        <v>40</v>
      </c>
      <c r="C23" s="207"/>
      <c r="D23" s="207"/>
      <c r="E23" s="300"/>
      <c r="F23" s="300"/>
      <c r="G23" s="300"/>
      <c r="H23" s="300"/>
      <c r="I23" s="291">
        <v>0</v>
      </c>
      <c r="J23" s="35">
        <v>0</v>
      </c>
      <c r="K23" s="35">
        <v>0</v>
      </c>
      <c r="L23" s="35">
        <v>0</v>
      </c>
      <c r="M23" s="35">
        <v>0</v>
      </c>
      <c r="N23" s="35">
        <v>0</v>
      </c>
      <c r="O23" s="35">
        <v>0</v>
      </c>
      <c r="P23" s="35">
        <v>0</v>
      </c>
      <c r="Q23" s="36"/>
      <c r="R23" s="35">
        <v>0</v>
      </c>
      <c r="S23" s="35">
        <v>0</v>
      </c>
      <c r="T23" s="35">
        <v>0</v>
      </c>
      <c r="U23" s="35">
        <v>0</v>
      </c>
      <c r="V23" s="35">
        <v>0</v>
      </c>
      <c r="W23" s="35">
        <v>0</v>
      </c>
      <c r="X23" s="36"/>
      <c r="Y23" s="35">
        <v>0</v>
      </c>
      <c r="Z23" s="35">
        <v>0</v>
      </c>
      <c r="AA23" s="35">
        <v>0</v>
      </c>
      <c r="AB23" s="35">
        <v>0</v>
      </c>
      <c r="AC23" s="35">
        <v>0</v>
      </c>
      <c r="AD23" s="35">
        <v>0</v>
      </c>
      <c r="AE23" s="37"/>
      <c r="AF23" s="43"/>
      <c r="AG23" s="1"/>
    </row>
    <row r="24" spans="2:33" ht="13.15" customHeight="1" x14ac:dyDescent="0.3">
      <c r="B24" s="230" t="s">
        <v>41</v>
      </c>
      <c r="C24" s="207"/>
      <c r="D24" s="207"/>
      <c r="E24" s="300"/>
      <c r="F24" s="300"/>
      <c r="G24" s="300"/>
      <c r="H24" s="300"/>
      <c r="I24" s="291">
        <v>0</v>
      </c>
      <c r="J24" s="35">
        <v>0</v>
      </c>
      <c r="K24" s="35">
        <v>0</v>
      </c>
      <c r="L24" s="35">
        <v>0</v>
      </c>
      <c r="M24" s="35">
        <v>0</v>
      </c>
      <c r="N24" s="35">
        <v>0</v>
      </c>
      <c r="O24" s="35">
        <v>0</v>
      </c>
      <c r="P24" s="35">
        <v>0</v>
      </c>
      <c r="Q24" s="36"/>
      <c r="R24" s="35">
        <v>0</v>
      </c>
      <c r="S24" s="35">
        <v>0</v>
      </c>
      <c r="T24" s="35">
        <v>0</v>
      </c>
      <c r="U24" s="35">
        <v>0</v>
      </c>
      <c r="V24" s="35">
        <v>0</v>
      </c>
      <c r="W24" s="35">
        <v>0</v>
      </c>
      <c r="X24" s="36"/>
      <c r="Y24" s="35">
        <v>0</v>
      </c>
      <c r="Z24" s="35">
        <v>0</v>
      </c>
      <c r="AA24" s="35">
        <v>0</v>
      </c>
      <c r="AB24" s="35">
        <v>0</v>
      </c>
      <c r="AC24" s="35">
        <v>0</v>
      </c>
      <c r="AD24" s="35">
        <v>0</v>
      </c>
      <c r="AE24" s="37"/>
      <c r="AF24" s="43"/>
      <c r="AG24" s="1"/>
    </row>
    <row r="25" spans="2:33" ht="13.15" customHeight="1" x14ac:dyDescent="0.3">
      <c r="B25" s="230" t="s">
        <v>42</v>
      </c>
      <c r="C25" s="207"/>
      <c r="D25" s="207"/>
      <c r="E25" s="300"/>
      <c r="F25" s="300"/>
      <c r="G25" s="300"/>
      <c r="H25" s="300"/>
      <c r="I25" s="291">
        <v>0</v>
      </c>
      <c r="J25" s="35">
        <v>0</v>
      </c>
      <c r="K25" s="35">
        <v>0</v>
      </c>
      <c r="L25" s="35">
        <v>0</v>
      </c>
      <c r="M25" s="35">
        <v>0</v>
      </c>
      <c r="N25" s="35">
        <v>0</v>
      </c>
      <c r="O25" s="35">
        <v>0</v>
      </c>
      <c r="P25" s="35">
        <v>0</v>
      </c>
      <c r="Q25" s="36"/>
      <c r="R25" s="35">
        <v>0</v>
      </c>
      <c r="S25" s="35">
        <v>0</v>
      </c>
      <c r="T25" s="35">
        <v>0</v>
      </c>
      <c r="U25" s="35">
        <v>0</v>
      </c>
      <c r="V25" s="35">
        <v>0</v>
      </c>
      <c r="W25" s="35">
        <v>0</v>
      </c>
      <c r="X25" s="36"/>
      <c r="Y25" s="35">
        <v>0</v>
      </c>
      <c r="Z25" s="35">
        <v>0</v>
      </c>
      <c r="AA25" s="35">
        <v>0</v>
      </c>
      <c r="AB25" s="35">
        <v>0</v>
      </c>
      <c r="AC25" s="35">
        <v>0</v>
      </c>
      <c r="AD25" s="35">
        <v>0</v>
      </c>
      <c r="AE25" s="37"/>
      <c r="AF25" s="43"/>
      <c r="AG25" s="1"/>
    </row>
    <row r="26" spans="2:33" ht="13.15" customHeight="1" x14ac:dyDescent="0.3">
      <c r="B26" s="230" t="s">
        <v>43</v>
      </c>
      <c r="C26" s="207"/>
      <c r="D26" s="207"/>
      <c r="E26" s="300"/>
      <c r="F26" s="300"/>
      <c r="G26" s="300"/>
      <c r="H26" s="300"/>
      <c r="I26" s="291">
        <v>0</v>
      </c>
      <c r="J26" s="39">
        <v>1</v>
      </c>
      <c r="K26" s="39">
        <v>1</v>
      </c>
      <c r="L26" s="39">
        <v>1</v>
      </c>
      <c r="M26" s="39">
        <v>0</v>
      </c>
      <c r="N26" s="39">
        <v>0</v>
      </c>
      <c r="O26" s="39">
        <v>0</v>
      </c>
      <c r="P26" s="39">
        <v>0</v>
      </c>
      <c r="Q26" s="36"/>
      <c r="R26" s="39">
        <v>1</v>
      </c>
      <c r="S26" s="39">
        <v>1</v>
      </c>
      <c r="T26" s="39">
        <v>0</v>
      </c>
      <c r="U26" s="39">
        <v>0</v>
      </c>
      <c r="V26" s="39">
        <v>0</v>
      </c>
      <c r="W26" s="39">
        <v>0</v>
      </c>
      <c r="X26" s="36"/>
      <c r="Y26" s="39">
        <v>1</v>
      </c>
      <c r="Z26" s="39">
        <v>1</v>
      </c>
      <c r="AA26" s="39">
        <v>0</v>
      </c>
      <c r="AB26" s="39">
        <v>0</v>
      </c>
      <c r="AC26" s="39">
        <v>0</v>
      </c>
      <c r="AD26" s="39">
        <v>0</v>
      </c>
      <c r="AE26" s="41">
        <v>0.1</v>
      </c>
      <c r="AF26" s="38" t="s">
        <v>146</v>
      </c>
      <c r="AG26" s="1"/>
    </row>
    <row r="27" spans="2:33" ht="13.15" customHeight="1" x14ac:dyDescent="0.3">
      <c r="B27" s="230" t="s">
        <v>44</v>
      </c>
      <c r="C27" s="207"/>
      <c r="D27" s="207"/>
      <c r="E27" s="300"/>
      <c r="F27" s="300"/>
      <c r="G27" s="300"/>
      <c r="H27" s="300"/>
      <c r="I27" s="291">
        <v>0</v>
      </c>
      <c r="J27" s="39">
        <v>1</v>
      </c>
      <c r="K27" s="39">
        <v>1</v>
      </c>
      <c r="L27" s="39">
        <v>1</v>
      </c>
      <c r="M27" s="39">
        <v>0</v>
      </c>
      <c r="N27" s="39">
        <v>0</v>
      </c>
      <c r="O27" s="39">
        <v>0</v>
      </c>
      <c r="P27" s="39">
        <v>0</v>
      </c>
      <c r="Q27" s="36"/>
      <c r="R27" s="39">
        <v>1</v>
      </c>
      <c r="S27" s="39">
        <v>1</v>
      </c>
      <c r="T27" s="39">
        <v>0</v>
      </c>
      <c r="U27" s="39">
        <v>0</v>
      </c>
      <c r="V27" s="39">
        <v>0</v>
      </c>
      <c r="W27" s="39">
        <v>0</v>
      </c>
      <c r="X27" s="36"/>
      <c r="Y27" s="39">
        <v>1</v>
      </c>
      <c r="Z27" s="39">
        <v>1</v>
      </c>
      <c r="AA27" s="39">
        <v>0</v>
      </c>
      <c r="AB27" s="39">
        <v>0</v>
      </c>
      <c r="AC27" s="39">
        <v>0</v>
      </c>
      <c r="AD27" s="39">
        <v>0</v>
      </c>
      <c r="AE27" s="41">
        <v>0.1</v>
      </c>
      <c r="AF27" s="38" t="s">
        <v>146</v>
      </c>
      <c r="AG27" s="1"/>
    </row>
    <row r="28" spans="2:33" ht="13.15" customHeight="1" x14ac:dyDescent="0.3">
      <c r="B28" s="230" t="s">
        <v>45</v>
      </c>
      <c r="C28" s="207"/>
      <c r="D28" s="207"/>
      <c r="E28" s="300"/>
      <c r="F28" s="300"/>
      <c r="G28" s="300"/>
      <c r="H28" s="300"/>
      <c r="I28" s="291">
        <v>0</v>
      </c>
      <c r="J28" s="39">
        <v>1</v>
      </c>
      <c r="K28" s="39">
        <v>1</v>
      </c>
      <c r="L28" s="39">
        <v>1</v>
      </c>
      <c r="M28" s="39">
        <v>1</v>
      </c>
      <c r="N28" s="39">
        <v>1</v>
      </c>
      <c r="O28" s="39">
        <v>1</v>
      </c>
      <c r="P28" s="39">
        <v>1</v>
      </c>
      <c r="Q28" s="36"/>
      <c r="R28" s="39">
        <v>1</v>
      </c>
      <c r="S28" s="39">
        <v>1</v>
      </c>
      <c r="T28" s="39">
        <v>1</v>
      </c>
      <c r="U28" s="39">
        <v>1</v>
      </c>
      <c r="V28" s="39">
        <v>1</v>
      </c>
      <c r="W28" s="39">
        <v>1</v>
      </c>
      <c r="X28" s="36"/>
      <c r="Y28" s="39">
        <v>1</v>
      </c>
      <c r="Z28" s="39">
        <v>1</v>
      </c>
      <c r="AA28" s="39">
        <v>1</v>
      </c>
      <c r="AB28" s="39">
        <v>1</v>
      </c>
      <c r="AC28" s="39">
        <v>1</v>
      </c>
      <c r="AD28" s="39">
        <v>1</v>
      </c>
      <c r="AE28" s="39">
        <v>1</v>
      </c>
      <c r="AF28" s="43"/>
      <c r="AG28" s="1"/>
    </row>
    <row r="29" spans="2:33" ht="13.15" customHeight="1" x14ac:dyDescent="0.3">
      <c r="B29" s="230" t="s">
        <v>46</v>
      </c>
      <c r="C29" s="207"/>
      <c r="D29" s="207"/>
      <c r="E29" s="300"/>
      <c r="F29" s="300"/>
      <c r="G29" s="300"/>
      <c r="H29" s="300"/>
      <c r="I29" s="291">
        <v>0</v>
      </c>
      <c r="J29" s="39">
        <v>1</v>
      </c>
      <c r="K29" s="39">
        <v>1</v>
      </c>
      <c r="L29" s="39">
        <v>1</v>
      </c>
      <c r="M29" s="39">
        <v>1</v>
      </c>
      <c r="N29" s="39">
        <v>1</v>
      </c>
      <c r="O29" s="39">
        <v>1</v>
      </c>
      <c r="P29" s="39">
        <v>1</v>
      </c>
      <c r="Q29" s="36"/>
      <c r="R29" s="39">
        <v>1</v>
      </c>
      <c r="S29" s="39">
        <v>1</v>
      </c>
      <c r="T29" s="39">
        <v>1</v>
      </c>
      <c r="U29" s="39">
        <v>1</v>
      </c>
      <c r="V29" s="39">
        <v>1</v>
      </c>
      <c r="W29" s="39">
        <v>1</v>
      </c>
      <c r="X29" s="36"/>
      <c r="Y29" s="39">
        <v>1</v>
      </c>
      <c r="Z29" s="39">
        <v>1</v>
      </c>
      <c r="AA29" s="39">
        <v>1</v>
      </c>
      <c r="AB29" s="39">
        <v>1</v>
      </c>
      <c r="AC29" s="39">
        <v>1</v>
      </c>
      <c r="AD29" s="39">
        <v>1</v>
      </c>
      <c r="AE29" s="39">
        <v>1</v>
      </c>
      <c r="AF29" s="43"/>
      <c r="AG29" s="1"/>
    </row>
    <row r="30" spans="2:33" ht="13.15" customHeight="1" x14ac:dyDescent="0.3">
      <c r="B30" s="230" t="s">
        <v>47</v>
      </c>
      <c r="C30" s="207"/>
      <c r="D30" s="207"/>
      <c r="E30" s="300"/>
      <c r="F30" s="300"/>
      <c r="G30" s="300"/>
      <c r="H30" s="300"/>
      <c r="I30" s="291">
        <v>0</v>
      </c>
      <c r="J30" s="35">
        <v>0</v>
      </c>
      <c r="K30" s="35">
        <v>0</v>
      </c>
      <c r="L30" s="35">
        <v>0</v>
      </c>
      <c r="M30" s="35">
        <v>0</v>
      </c>
      <c r="N30" s="35">
        <v>0</v>
      </c>
      <c r="O30" s="35">
        <v>0</v>
      </c>
      <c r="P30" s="35">
        <v>0</v>
      </c>
      <c r="Q30" s="36"/>
      <c r="R30" s="35">
        <v>0</v>
      </c>
      <c r="S30" s="35">
        <v>0</v>
      </c>
      <c r="T30" s="35">
        <v>0</v>
      </c>
      <c r="U30" s="35">
        <v>0</v>
      </c>
      <c r="V30" s="35">
        <v>0</v>
      </c>
      <c r="W30" s="35">
        <v>0</v>
      </c>
      <c r="X30" s="36"/>
      <c r="Y30" s="35">
        <v>0</v>
      </c>
      <c r="Z30" s="35">
        <v>0</v>
      </c>
      <c r="AA30" s="35">
        <v>0</v>
      </c>
      <c r="AB30" s="35">
        <v>0</v>
      </c>
      <c r="AC30" s="35">
        <v>0</v>
      </c>
      <c r="AD30" s="35">
        <v>0</v>
      </c>
      <c r="AE30" s="37"/>
      <c r="AF30" s="43"/>
      <c r="AG30" s="1"/>
    </row>
    <row r="31" spans="2:33" ht="13.15" customHeight="1" thickBot="1" x14ac:dyDescent="0.35">
      <c r="B31" s="278" t="s">
        <v>48</v>
      </c>
      <c r="C31" s="42"/>
      <c r="D31" s="42"/>
      <c r="E31" s="300"/>
      <c r="F31" s="300"/>
      <c r="G31" s="300"/>
      <c r="H31" s="300"/>
      <c r="I31" s="291">
        <v>0</v>
      </c>
      <c r="J31" s="35">
        <v>0</v>
      </c>
      <c r="K31" s="35">
        <v>0</v>
      </c>
      <c r="L31" s="35">
        <v>0</v>
      </c>
      <c r="M31" s="35">
        <v>0</v>
      </c>
      <c r="N31" s="35">
        <v>0</v>
      </c>
      <c r="O31" s="35">
        <v>0</v>
      </c>
      <c r="P31" s="35">
        <v>0</v>
      </c>
      <c r="Q31" s="36"/>
      <c r="R31" s="35">
        <v>0</v>
      </c>
      <c r="S31" s="35">
        <v>0</v>
      </c>
      <c r="T31" s="35">
        <v>0</v>
      </c>
      <c r="U31" s="35">
        <v>0</v>
      </c>
      <c r="V31" s="35">
        <v>0</v>
      </c>
      <c r="W31" s="35">
        <v>0</v>
      </c>
      <c r="X31" s="36"/>
      <c r="Y31" s="35">
        <v>0</v>
      </c>
      <c r="Z31" s="35">
        <v>0</v>
      </c>
      <c r="AA31" s="35">
        <v>0</v>
      </c>
      <c r="AB31" s="35">
        <v>0</v>
      </c>
      <c r="AC31" s="35">
        <v>0</v>
      </c>
      <c r="AD31" s="35">
        <v>0</v>
      </c>
      <c r="AE31" s="37"/>
      <c r="AF31" s="43"/>
      <c r="AG31" s="1"/>
    </row>
    <row r="32" spans="2:33" ht="13.15" customHeight="1" x14ac:dyDescent="0.25">
      <c r="B32" s="231" t="s">
        <v>49</v>
      </c>
      <c r="C32" s="216"/>
      <c r="D32" s="216"/>
      <c r="E32" s="216"/>
      <c r="F32" s="216"/>
      <c r="G32" s="216"/>
      <c r="H32" s="216"/>
      <c r="I32" s="292"/>
      <c r="J32" s="31"/>
      <c r="K32" s="31"/>
      <c r="L32" s="31"/>
      <c r="M32" s="31"/>
      <c r="N32" s="31"/>
      <c r="O32" s="31"/>
      <c r="P32" s="31"/>
      <c r="Q32" s="31"/>
      <c r="R32" s="31"/>
      <c r="S32" s="31"/>
      <c r="T32" s="31"/>
      <c r="U32" s="31"/>
      <c r="V32" s="31"/>
      <c r="W32" s="31"/>
      <c r="X32" s="31"/>
      <c r="Y32" s="31"/>
      <c r="Z32" s="31"/>
      <c r="AA32" s="31"/>
      <c r="AB32" s="31"/>
      <c r="AC32" s="31"/>
      <c r="AD32" s="45"/>
      <c r="AE32" s="238"/>
      <c r="AF32" s="33"/>
      <c r="AG32" s="1"/>
    </row>
    <row r="33" spans="2:33" ht="13.15" customHeight="1" x14ac:dyDescent="0.3">
      <c r="B33" s="230" t="s">
        <v>50</v>
      </c>
      <c r="C33" s="207"/>
      <c r="D33" s="207"/>
      <c r="E33" s="300"/>
      <c r="F33" s="300"/>
      <c r="G33" s="300"/>
      <c r="H33" s="300"/>
      <c r="I33" s="291">
        <v>0</v>
      </c>
      <c r="J33" s="44">
        <v>1</v>
      </c>
      <c r="K33" s="44">
        <v>1</v>
      </c>
      <c r="L33" s="44">
        <v>0.95</v>
      </c>
      <c r="M33" s="44">
        <v>0.9</v>
      </c>
      <c r="N33" s="44">
        <v>0.9</v>
      </c>
      <c r="O33" s="44">
        <v>0</v>
      </c>
      <c r="P33" s="44">
        <v>0</v>
      </c>
      <c r="Q33" s="40"/>
      <c r="R33" s="44">
        <v>0</v>
      </c>
      <c r="S33" s="44">
        <v>0</v>
      </c>
      <c r="T33" s="44">
        <v>0</v>
      </c>
      <c r="U33" s="44">
        <v>0</v>
      </c>
      <c r="V33" s="44">
        <v>0</v>
      </c>
      <c r="W33" s="44">
        <v>0</v>
      </c>
      <c r="X33" s="40">
        <v>1</v>
      </c>
      <c r="Y33" s="44">
        <v>0</v>
      </c>
      <c r="Z33" s="44">
        <v>0</v>
      </c>
      <c r="AA33" s="44">
        <v>0</v>
      </c>
      <c r="AB33" s="44">
        <v>0</v>
      </c>
      <c r="AC33" s="44">
        <v>0</v>
      </c>
      <c r="AD33" s="242">
        <v>0</v>
      </c>
      <c r="AE33" s="239">
        <v>0</v>
      </c>
      <c r="AF33" s="38" t="s">
        <v>147</v>
      </c>
      <c r="AG33" s="1"/>
    </row>
    <row r="34" spans="2:33" ht="13.9" customHeight="1" x14ac:dyDescent="0.3">
      <c r="B34" s="230" t="s">
        <v>51</v>
      </c>
      <c r="C34" s="207"/>
      <c r="D34" s="207"/>
      <c r="E34" s="300"/>
      <c r="F34" s="300"/>
      <c r="G34" s="300"/>
      <c r="H34" s="300"/>
      <c r="I34" s="291">
        <v>0</v>
      </c>
      <c r="J34" s="44">
        <v>1</v>
      </c>
      <c r="K34" s="44">
        <v>1</v>
      </c>
      <c r="L34" s="44">
        <v>0.95</v>
      </c>
      <c r="M34" s="44">
        <v>0.9</v>
      </c>
      <c r="N34" s="44">
        <v>0.9</v>
      </c>
      <c r="O34" s="44">
        <v>0</v>
      </c>
      <c r="P34" s="44">
        <v>0</v>
      </c>
      <c r="Q34" s="40"/>
      <c r="R34" s="44">
        <v>0</v>
      </c>
      <c r="S34" s="44">
        <v>0</v>
      </c>
      <c r="T34" s="44">
        <v>0</v>
      </c>
      <c r="U34" s="44">
        <v>0</v>
      </c>
      <c r="V34" s="44">
        <v>0</v>
      </c>
      <c r="W34" s="44">
        <v>0</v>
      </c>
      <c r="X34" s="40">
        <v>1</v>
      </c>
      <c r="Y34" s="44">
        <v>0</v>
      </c>
      <c r="Z34" s="44">
        <v>0</v>
      </c>
      <c r="AA34" s="44">
        <v>0</v>
      </c>
      <c r="AB34" s="44">
        <v>0</v>
      </c>
      <c r="AC34" s="44">
        <v>0</v>
      </c>
      <c r="AD34" s="242">
        <v>0</v>
      </c>
      <c r="AE34" s="239">
        <v>0.8</v>
      </c>
      <c r="AF34" s="38" t="s">
        <v>147</v>
      </c>
      <c r="AG34" s="1"/>
    </row>
    <row r="35" spans="2:33" ht="13.9" customHeight="1" x14ac:dyDescent="0.3">
      <c r="B35" s="230" t="s">
        <v>52</v>
      </c>
      <c r="C35" s="207"/>
      <c r="D35" s="207"/>
      <c r="E35" s="300"/>
      <c r="F35" s="300"/>
      <c r="G35" s="300"/>
      <c r="H35" s="300"/>
      <c r="I35" s="291">
        <v>0</v>
      </c>
      <c r="J35" s="44">
        <v>1</v>
      </c>
      <c r="K35" s="44">
        <v>1</v>
      </c>
      <c r="L35" s="44">
        <v>0</v>
      </c>
      <c r="M35" s="44">
        <v>0</v>
      </c>
      <c r="N35" s="44">
        <v>0</v>
      </c>
      <c r="O35" s="44">
        <v>0</v>
      </c>
      <c r="P35" s="44">
        <v>0</v>
      </c>
      <c r="Q35" s="40"/>
      <c r="R35" s="44">
        <v>0</v>
      </c>
      <c r="S35" s="44">
        <v>0</v>
      </c>
      <c r="T35" s="44">
        <v>0</v>
      </c>
      <c r="U35" s="44">
        <v>0</v>
      </c>
      <c r="V35" s="44">
        <v>0</v>
      </c>
      <c r="W35" s="44">
        <v>0</v>
      </c>
      <c r="X35" s="40">
        <v>1</v>
      </c>
      <c r="Y35" s="44">
        <v>0</v>
      </c>
      <c r="Z35" s="44">
        <v>0</v>
      </c>
      <c r="AA35" s="44">
        <v>0</v>
      </c>
      <c r="AB35" s="44">
        <v>0</v>
      </c>
      <c r="AC35" s="44">
        <v>0</v>
      </c>
      <c r="AD35" s="242">
        <v>0</v>
      </c>
      <c r="AE35" s="240">
        <v>0.15</v>
      </c>
      <c r="AF35" s="38" t="s">
        <v>148</v>
      </c>
      <c r="AG35" s="1"/>
    </row>
    <row r="36" spans="2:33" ht="13.9" customHeight="1" x14ac:dyDescent="0.3">
      <c r="B36" s="230" t="s">
        <v>53</v>
      </c>
      <c r="C36" s="207"/>
      <c r="D36" s="207"/>
      <c r="E36" s="300"/>
      <c r="F36" s="300"/>
      <c r="G36" s="300"/>
      <c r="H36" s="300"/>
      <c r="I36" s="291">
        <v>0</v>
      </c>
      <c r="J36" s="35">
        <v>0</v>
      </c>
      <c r="K36" s="35">
        <v>0</v>
      </c>
      <c r="L36" s="35">
        <v>0</v>
      </c>
      <c r="M36" s="35">
        <v>0</v>
      </c>
      <c r="N36" s="35">
        <v>0</v>
      </c>
      <c r="O36" s="35">
        <v>0</v>
      </c>
      <c r="P36" s="35">
        <v>0</v>
      </c>
      <c r="Q36" s="40"/>
      <c r="R36" s="35">
        <v>0</v>
      </c>
      <c r="S36" s="35">
        <v>0</v>
      </c>
      <c r="T36" s="35">
        <v>0</v>
      </c>
      <c r="U36" s="35">
        <v>0</v>
      </c>
      <c r="V36" s="35">
        <v>0</v>
      </c>
      <c r="W36" s="35">
        <v>0</v>
      </c>
      <c r="X36" s="40"/>
      <c r="Y36" s="35">
        <v>0</v>
      </c>
      <c r="Z36" s="35">
        <v>0</v>
      </c>
      <c r="AA36" s="35">
        <v>0</v>
      </c>
      <c r="AB36" s="35">
        <v>0</v>
      </c>
      <c r="AC36" s="35">
        <v>0</v>
      </c>
      <c r="AD36" s="35">
        <v>0</v>
      </c>
      <c r="AE36" s="241"/>
      <c r="AF36" s="237"/>
      <c r="AG36" s="1"/>
    </row>
    <row r="37" spans="2:33" ht="13.9" customHeight="1" thickBot="1" x14ac:dyDescent="0.35">
      <c r="B37" s="278" t="s">
        <v>54</v>
      </c>
      <c r="C37" s="207"/>
      <c r="D37" s="207"/>
      <c r="E37" s="300"/>
      <c r="F37" s="300"/>
      <c r="G37" s="300"/>
      <c r="H37" s="300"/>
      <c r="I37" s="291">
        <v>0</v>
      </c>
      <c r="J37" s="35">
        <v>0</v>
      </c>
      <c r="K37" s="35">
        <v>0</v>
      </c>
      <c r="L37" s="35">
        <v>0</v>
      </c>
      <c r="M37" s="35">
        <v>0</v>
      </c>
      <c r="N37" s="35">
        <v>0</v>
      </c>
      <c r="O37" s="35">
        <v>0</v>
      </c>
      <c r="P37" s="35">
        <v>0</v>
      </c>
      <c r="Q37" s="40"/>
      <c r="R37" s="35">
        <v>0</v>
      </c>
      <c r="S37" s="35">
        <v>0</v>
      </c>
      <c r="T37" s="35">
        <v>0</v>
      </c>
      <c r="U37" s="35">
        <v>0</v>
      </c>
      <c r="V37" s="35">
        <v>0</v>
      </c>
      <c r="W37" s="35">
        <v>0</v>
      </c>
      <c r="X37" s="40"/>
      <c r="Y37" s="35">
        <v>0</v>
      </c>
      <c r="Z37" s="35">
        <v>0</v>
      </c>
      <c r="AA37" s="35">
        <v>0</v>
      </c>
      <c r="AB37" s="35">
        <v>0</v>
      </c>
      <c r="AC37" s="35">
        <v>0</v>
      </c>
      <c r="AD37" s="35">
        <v>0</v>
      </c>
      <c r="AE37" s="241"/>
      <c r="AF37" s="237"/>
      <c r="AG37" s="1"/>
    </row>
    <row r="38" spans="2:33" ht="16.149999999999999" customHeight="1" x14ac:dyDescent="0.2">
      <c r="B38" s="231" t="s">
        <v>55</v>
      </c>
      <c r="C38" s="232"/>
      <c r="D38" s="232"/>
      <c r="E38" s="216"/>
      <c r="F38" s="216"/>
      <c r="G38" s="216"/>
      <c r="H38" s="216"/>
      <c r="I38" s="295"/>
      <c r="J38" s="51"/>
      <c r="K38" s="51"/>
      <c r="L38" s="51"/>
      <c r="M38" s="51"/>
      <c r="N38" s="51"/>
      <c r="O38" s="51"/>
      <c r="P38" s="51"/>
      <c r="Q38" s="51"/>
      <c r="R38" s="51"/>
      <c r="S38" s="51"/>
      <c r="T38" s="51"/>
      <c r="U38" s="51"/>
      <c r="V38" s="51"/>
      <c r="W38" s="51"/>
      <c r="X38" s="51"/>
      <c r="Y38" s="51"/>
      <c r="Z38" s="51"/>
      <c r="AA38" s="51"/>
      <c r="AB38" s="51"/>
      <c r="AC38" s="51"/>
      <c r="AD38" s="51"/>
      <c r="AE38" s="45"/>
      <c r="AF38" s="46"/>
      <c r="AG38" s="1"/>
    </row>
    <row r="39" spans="2:33" ht="16.149999999999999" customHeight="1" x14ac:dyDescent="0.3">
      <c r="B39" s="230" t="s">
        <v>56</v>
      </c>
      <c r="C39" s="207"/>
      <c r="D39" s="207"/>
      <c r="E39" s="300"/>
      <c r="F39" s="300"/>
      <c r="G39" s="300"/>
      <c r="H39" s="300"/>
      <c r="I39" s="291">
        <v>0</v>
      </c>
      <c r="J39" s="39">
        <v>0</v>
      </c>
      <c r="K39" s="47">
        <v>0.9</v>
      </c>
      <c r="L39" s="47">
        <v>0.9</v>
      </c>
      <c r="M39" s="47">
        <v>0.7</v>
      </c>
      <c r="N39" s="47">
        <v>0.7</v>
      </c>
      <c r="O39" s="47">
        <v>0.2</v>
      </c>
      <c r="P39" s="47">
        <v>0.2</v>
      </c>
      <c r="Q39" s="40"/>
      <c r="R39" s="47">
        <v>0.2</v>
      </c>
      <c r="S39" s="47">
        <v>0.2</v>
      </c>
      <c r="T39" s="47">
        <v>0.2</v>
      </c>
      <c r="U39" s="47">
        <v>0.2</v>
      </c>
      <c r="V39" s="47">
        <v>0.2</v>
      </c>
      <c r="W39" s="47">
        <v>0.2</v>
      </c>
      <c r="X39" s="40"/>
      <c r="Y39" s="47">
        <v>0.2</v>
      </c>
      <c r="Z39" s="47">
        <v>0.2</v>
      </c>
      <c r="AA39" s="47">
        <v>0.2</v>
      </c>
      <c r="AB39" s="47">
        <v>0.2</v>
      </c>
      <c r="AC39" s="47">
        <v>0.2</v>
      </c>
      <c r="AD39" s="47">
        <v>0.2</v>
      </c>
      <c r="AE39" s="48">
        <v>0</v>
      </c>
      <c r="AF39" s="49"/>
      <c r="AG39" s="1"/>
    </row>
    <row r="40" spans="2:33" ht="16.149999999999999" customHeight="1" x14ac:dyDescent="0.3">
      <c r="B40" s="230" t="s">
        <v>57</v>
      </c>
      <c r="C40" s="243"/>
      <c r="D40" s="243"/>
      <c r="E40" s="300"/>
      <c r="F40" s="300"/>
      <c r="G40" s="300"/>
      <c r="H40" s="300"/>
      <c r="I40" s="291">
        <v>0</v>
      </c>
      <c r="J40" s="47">
        <v>1</v>
      </c>
      <c r="K40" s="47">
        <v>1</v>
      </c>
      <c r="L40" s="47">
        <v>1</v>
      </c>
      <c r="M40" s="47">
        <v>1</v>
      </c>
      <c r="N40" s="47">
        <v>1</v>
      </c>
      <c r="O40" s="47">
        <v>1</v>
      </c>
      <c r="P40" s="47">
        <v>1</v>
      </c>
      <c r="Q40" s="40"/>
      <c r="R40" s="47">
        <v>1</v>
      </c>
      <c r="S40" s="47">
        <v>1</v>
      </c>
      <c r="T40" s="47">
        <v>1</v>
      </c>
      <c r="U40" s="47">
        <v>1</v>
      </c>
      <c r="V40" s="47">
        <v>1</v>
      </c>
      <c r="W40" s="47">
        <v>1</v>
      </c>
      <c r="X40" s="40"/>
      <c r="Y40" s="47">
        <v>1</v>
      </c>
      <c r="Z40" s="47">
        <v>1</v>
      </c>
      <c r="AA40" s="47">
        <v>1</v>
      </c>
      <c r="AB40" s="47">
        <v>1</v>
      </c>
      <c r="AC40" s="47">
        <v>1</v>
      </c>
      <c r="AD40" s="47">
        <v>1</v>
      </c>
      <c r="AE40" s="54"/>
      <c r="AF40" s="237"/>
      <c r="AG40" s="1"/>
    </row>
    <row r="41" spans="2:33" ht="16.149999999999999" customHeight="1" x14ac:dyDescent="0.3">
      <c r="B41" s="230" t="s">
        <v>58</v>
      </c>
      <c r="C41" s="243"/>
      <c r="D41" s="243"/>
      <c r="E41" s="300"/>
      <c r="F41" s="300"/>
      <c r="G41" s="300"/>
      <c r="H41" s="300"/>
      <c r="I41" s="291">
        <v>0</v>
      </c>
      <c r="J41" s="35">
        <v>0</v>
      </c>
      <c r="K41" s="35">
        <v>0</v>
      </c>
      <c r="L41" s="35">
        <v>0</v>
      </c>
      <c r="M41" s="35">
        <v>0</v>
      </c>
      <c r="N41" s="35">
        <v>0</v>
      </c>
      <c r="O41" s="35">
        <v>0</v>
      </c>
      <c r="P41" s="35">
        <v>0</v>
      </c>
      <c r="Q41" s="40"/>
      <c r="R41" s="35">
        <v>0</v>
      </c>
      <c r="S41" s="35">
        <v>0</v>
      </c>
      <c r="T41" s="35">
        <v>0</v>
      </c>
      <c r="U41" s="35">
        <v>0</v>
      </c>
      <c r="V41" s="35">
        <v>0</v>
      </c>
      <c r="W41" s="35">
        <v>0</v>
      </c>
      <c r="X41" s="40"/>
      <c r="Y41" s="35">
        <v>0</v>
      </c>
      <c r="Z41" s="35">
        <v>0</v>
      </c>
      <c r="AA41" s="35">
        <v>0</v>
      </c>
      <c r="AB41" s="35">
        <v>0</v>
      </c>
      <c r="AC41" s="35">
        <v>0</v>
      </c>
      <c r="AD41" s="35">
        <v>0</v>
      </c>
      <c r="AE41" s="54"/>
      <c r="AF41" s="237"/>
      <c r="AG41" s="1"/>
    </row>
    <row r="42" spans="2:33" ht="16.149999999999999" customHeight="1" x14ac:dyDescent="0.3">
      <c r="B42" s="213" t="s">
        <v>59</v>
      </c>
      <c r="C42" s="243"/>
      <c r="D42" s="243"/>
      <c r="E42" s="300"/>
      <c r="F42" s="300"/>
      <c r="G42" s="300"/>
      <c r="H42" s="300"/>
      <c r="I42" s="291">
        <v>0</v>
      </c>
      <c r="J42" s="35">
        <v>0</v>
      </c>
      <c r="K42" s="35">
        <v>0</v>
      </c>
      <c r="L42" s="35">
        <v>0</v>
      </c>
      <c r="M42" s="35">
        <v>0</v>
      </c>
      <c r="N42" s="35">
        <v>0</v>
      </c>
      <c r="O42" s="35">
        <v>0</v>
      </c>
      <c r="P42" s="35">
        <v>0</v>
      </c>
      <c r="Q42" s="40"/>
      <c r="R42" s="35">
        <v>0</v>
      </c>
      <c r="S42" s="35">
        <v>0</v>
      </c>
      <c r="T42" s="35">
        <v>0</v>
      </c>
      <c r="U42" s="35">
        <v>0</v>
      </c>
      <c r="V42" s="35">
        <v>0</v>
      </c>
      <c r="W42" s="35">
        <v>0</v>
      </c>
      <c r="X42" s="40"/>
      <c r="Y42" s="35">
        <v>0</v>
      </c>
      <c r="Z42" s="35">
        <v>0</v>
      </c>
      <c r="AA42" s="35">
        <v>0</v>
      </c>
      <c r="AB42" s="35">
        <v>0</v>
      </c>
      <c r="AC42" s="35">
        <v>0</v>
      </c>
      <c r="AD42" s="35">
        <v>0</v>
      </c>
      <c r="AE42" s="54"/>
      <c r="AF42" s="237"/>
      <c r="AG42" s="1"/>
    </row>
    <row r="43" spans="2:33" ht="16.149999999999999" customHeight="1" x14ac:dyDescent="0.3">
      <c r="B43" s="213" t="s">
        <v>60</v>
      </c>
      <c r="C43" s="243"/>
      <c r="D43" s="243"/>
      <c r="E43" s="300"/>
      <c r="F43" s="300"/>
      <c r="G43" s="300"/>
      <c r="H43" s="300"/>
      <c r="I43" s="291">
        <v>0</v>
      </c>
      <c r="J43" s="35">
        <v>0</v>
      </c>
      <c r="K43" s="35">
        <v>0</v>
      </c>
      <c r="L43" s="35">
        <v>0</v>
      </c>
      <c r="M43" s="35">
        <v>0</v>
      </c>
      <c r="N43" s="35">
        <v>0</v>
      </c>
      <c r="O43" s="35">
        <v>0</v>
      </c>
      <c r="P43" s="35">
        <v>0</v>
      </c>
      <c r="Q43" s="40"/>
      <c r="R43" s="35">
        <v>0</v>
      </c>
      <c r="S43" s="35">
        <v>0</v>
      </c>
      <c r="T43" s="35">
        <v>0</v>
      </c>
      <c r="U43" s="35">
        <v>0</v>
      </c>
      <c r="V43" s="35">
        <v>0</v>
      </c>
      <c r="W43" s="35">
        <v>0</v>
      </c>
      <c r="X43" s="40"/>
      <c r="Y43" s="35">
        <v>0</v>
      </c>
      <c r="Z43" s="35">
        <v>0</v>
      </c>
      <c r="AA43" s="35">
        <v>0</v>
      </c>
      <c r="AB43" s="35">
        <v>0</v>
      </c>
      <c r="AC43" s="35">
        <v>0</v>
      </c>
      <c r="AD43" s="35">
        <v>0</v>
      </c>
      <c r="AE43" s="54"/>
      <c r="AF43" s="237"/>
      <c r="AG43" s="1"/>
    </row>
    <row r="44" spans="2:33" ht="16.149999999999999" customHeight="1" x14ac:dyDescent="0.3">
      <c r="B44" s="213" t="s">
        <v>61</v>
      </c>
      <c r="C44" s="243"/>
      <c r="D44" s="243"/>
      <c r="E44" s="300"/>
      <c r="F44" s="300"/>
      <c r="G44" s="300"/>
      <c r="H44" s="300"/>
      <c r="I44" s="291">
        <v>0</v>
      </c>
      <c r="J44" s="35">
        <v>0</v>
      </c>
      <c r="K44" s="35">
        <v>0</v>
      </c>
      <c r="L44" s="35">
        <v>0</v>
      </c>
      <c r="M44" s="35">
        <v>0</v>
      </c>
      <c r="N44" s="35">
        <v>0</v>
      </c>
      <c r="O44" s="35">
        <v>0</v>
      </c>
      <c r="P44" s="35">
        <v>0</v>
      </c>
      <c r="Q44" s="40"/>
      <c r="R44" s="35">
        <v>0</v>
      </c>
      <c r="S44" s="35">
        <v>0</v>
      </c>
      <c r="T44" s="35">
        <v>0</v>
      </c>
      <c r="U44" s="35">
        <v>0</v>
      </c>
      <c r="V44" s="35">
        <v>0</v>
      </c>
      <c r="W44" s="35">
        <v>0</v>
      </c>
      <c r="X44" s="40"/>
      <c r="Y44" s="35">
        <v>0</v>
      </c>
      <c r="Z44" s="35">
        <v>0</v>
      </c>
      <c r="AA44" s="35">
        <v>0</v>
      </c>
      <c r="AB44" s="35">
        <v>0</v>
      </c>
      <c r="AC44" s="35">
        <v>0</v>
      </c>
      <c r="AD44" s="35">
        <v>0</v>
      </c>
      <c r="AE44" s="54"/>
      <c r="AF44" s="237"/>
      <c r="AG44" s="1"/>
    </row>
    <row r="45" spans="2:33" ht="16.149999999999999" customHeight="1" x14ac:dyDescent="0.3">
      <c r="B45" s="230" t="s">
        <v>62</v>
      </c>
      <c r="C45" s="207"/>
      <c r="D45" s="243"/>
      <c r="E45" s="300"/>
      <c r="F45" s="300"/>
      <c r="G45" s="300"/>
      <c r="H45" s="300"/>
      <c r="I45" s="291">
        <v>0</v>
      </c>
      <c r="J45" s="47">
        <v>1</v>
      </c>
      <c r="K45" s="47">
        <v>1</v>
      </c>
      <c r="L45" s="47">
        <v>1</v>
      </c>
      <c r="M45" s="47">
        <v>1</v>
      </c>
      <c r="N45" s="47">
        <v>1</v>
      </c>
      <c r="O45" s="47">
        <v>1</v>
      </c>
      <c r="P45" s="47">
        <v>1</v>
      </c>
      <c r="Q45" s="40"/>
      <c r="R45" s="47">
        <v>1</v>
      </c>
      <c r="S45" s="47">
        <v>1</v>
      </c>
      <c r="T45" s="47">
        <v>1</v>
      </c>
      <c r="U45" s="47">
        <v>1</v>
      </c>
      <c r="V45" s="47">
        <v>1</v>
      </c>
      <c r="W45" s="47">
        <v>1</v>
      </c>
      <c r="X45" s="40"/>
      <c r="Y45" s="47">
        <v>1</v>
      </c>
      <c r="Z45" s="47">
        <v>1</v>
      </c>
      <c r="AA45" s="47">
        <v>1</v>
      </c>
      <c r="AB45" s="47">
        <v>1</v>
      </c>
      <c r="AC45" s="47">
        <v>1</v>
      </c>
      <c r="AD45" s="47">
        <v>1</v>
      </c>
      <c r="AE45" s="54"/>
      <c r="AF45" s="237"/>
      <c r="AG45" s="1"/>
    </row>
    <row r="46" spans="2:33" ht="16.149999999999999" customHeight="1" x14ac:dyDescent="0.3">
      <c r="B46" s="230" t="s">
        <v>63</v>
      </c>
      <c r="C46" s="207"/>
      <c r="D46" s="207"/>
      <c r="E46" s="300"/>
      <c r="F46" s="300"/>
      <c r="G46" s="300"/>
      <c r="H46" s="300"/>
      <c r="I46" s="291">
        <v>0</v>
      </c>
      <c r="J46" s="55">
        <v>1</v>
      </c>
      <c r="K46" s="55">
        <v>1</v>
      </c>
      <c r="L46" s="55">
        <v>1</v>
      </c>
      <c r="M46" s="55">
        <v>1</v>
      </c>
      <c r="N46" s="55">
        <v>1</v>
      </c>
      <c r="O46" s="55">
        <v>1</v>
      </c>
      <c r="P46" s="55">
        <v>1</v>
      </c>
      <c r="Q46" s="40"/>
      <c r="R46" s="55">
        <v>1</v>
      </c>
      <c r="S46" s="55">
        <v>1</v>
      </c>
      <c r="T46" s="55">
        <v>1</v>
      </c>
      <c r="U46" s="55">
        <v>1</v>
      </c>
      <c r="V46" s="55">
        <v>1</v>
      </c>
      <c r="W46" s="55">
        <v>1</v>
      </c>
      <c r="X46" s="40"/>
      <c r="Y46" s="55">
        <v>1</v>
      </c>
      <c r="Z46" s="55">
        <v>1</v>
      </c>
      <c r="AA46" s="55">
        <v>1</v>
      </c>
      <c r="AB46" s="55">
        <v>1</v>
      </c>
      <c r="AC46" s="55">
        <v>1</v>
      </c>
      <c r="AD46" s="55">
        <v>1</v>
      </c>
      <c r="AE46" s="54"/>
      <c r="AF46" s="237"/>
      <c r="AG46" s="1"/>
    </row>
    <row r="47" spans="2:33" ht="16.149999999999999" customHeight="1" thickBot="1" x14ac:dyDescent="0.35">
      <c r="B47" s="278" t="s">
        <v>64</v>
      </c>
      <c r="C47" s="243"/>
      <c r="D47" s="236"/>
      <c r="E47" s="300"/>
      <c r="F47" s="300"/>
      <c r="G47" s="300"/>
      <c r="H47" s="300"/>
      <c r="I47" s="291">
        <v>0</v>
      </c>
      <c r="J47" s="47">
        <v>1</v>
      </c>
      <c r="K47" s="47">
        <v>1</v>
      </c>
      <c r="L47" s="47">
        <v>1</v>
      </c>
      <c r="M47" s="47">
        <v>1</v>
      </c>
      <c r="N47" s="47">
        <v>1</v>
      </c>
      <c r="O47" s="47">
        <v>1</v>
      </c>
      <c r="P47" s="47">
        <v>1</v>
      </c>
      <c r="Q47" s="36"/>
      <c r="R47" s="304">
        <v>0.3</v>
      </c>
      <c r="S47" s="304">
        <v>0.3</v>
      </c>
      <c r="T47" s="304">
        <v>0.3</v>
      </c>
      <c r="U47" s="304">
        <v>0.3</v>
      </c>
      <c r="V47" s="304">
        <v>0.3</v>
      </c>
      <c r="W47" s="304">
        <v>0.3</v>
      </c>
      <c r="X47" s="36"/>
      <c r="Y47" s="304">
        <v>0.7</v>
      </c>
      <c r="Z47" s="304">
        <v>0.7</v>
      </c>
      <c r="AA47" s="304">
        <v>0.7</v>
      </c>
      <c r="AB47" s="304">
        <v>0.7</v>
      </c>
      <c r="AC47" s="304">
        <v>0.7</v>
      </c>
      <c r="AD47" s="304">
        <v>0.7</v>
      </c>
      <c r="AE47" s="305"/>
      <c r="AF47" s="237"/>
      <c r="AG47" s="1"/>
    </row>
    <row r="48" spans="2:33" ht="16.149999999999999" customHeight="1" x14ac:dyDescent="0.25">
      <c r="B48" s="231" t="s">
        <v>65</v>
      </c>
      <c r="C48" s="232"/>
      <c r="D48" s="216"/>
      <c r="E48" s="216"/>
      <c r="F48" s="216"/>
      <c r="G48" s="216"/>
      <c r="H48" s="216"/>
      <c r="I48" s="292"/>
      <c r="J48" s="31"/>
      <c r="K48" s="31"/>
      <c r="L48" s="31"/>
      <c r="M48" s="31"/>
      <c r="N48" s="31"/>
      <c r="O48" s="31"/>
      <c r="P48" s="31"/>
      <c r="Q48" s="31"/>
      <c r="R48" s="31"/>
      <c r="S48" s="31"/>
      <c r="T48" s="31"/>
      <c r="U48" s="31"/>
      <c r="V48" s="31"/>
      <c r="W48" s="31"/>
      <c r="X48" s="31"/>
      <c r="Y48" s="31"/>
      <c r="Z48" s="31"/>
      <c r="AA48" s="31"/>
      <c r="AB48" s="31"/>
      <c r="AC48" s="31"/>
      <c r="AD48" s="45"/>
      <c r="AE48" s="245"/>
      <c r="AF48" s="33"/>
      <c r="AG48" s="1"/>
    </row>
    <row r="49" spans="2:33" s="53" customFormat="1" ht="16.149999999999999" customHeight="1" x14ac:dyDescent="0.3">
      <c r="B49" s="230" t="s">
        <v>66</v>
      </c>
      <c r="C49" s="217"/>
      <c r="D49" s="217"/>
      <c r="E49" s="300"/>
      <c r="F49" s="300"/>
      <c r="G49" s="300"/>
      <c r="H49" s="300"/>
      <c r="I49" s="291">
        <v>0</v>
      </c>
      <c r="J49" s="47">
        <v>1</v>
      </c>
      <c r="K49" s="47">
        <v>1</v>
      </c>
      <c r="L49" s="47">
        <v>1</v>
      </c>
      <c r="M49" s="47">
        <v>1</v>
      </c>
      <c r="N49" s="47">
        <v>1</v>
      </c>
      <c r="O49" s="47">
        <v>1</v>
      </c>
      <c r="P49" s="47">
        <v>1</v>
      </c>
      <c r="Q49" s="40"/>
      <c r="R49" s="47">
        <v>1</v>
      </c>
      <c r="S49" s="47">
        <v>1</v>
      </c>
      <c r="T49" s="47">
        <v>1</v>
      </c>
      <c r="U49" s="47">
        <v>1</v>
      </c>
      <c r="V49" s="47">
        <v>1</v>
      </c>
      <c r="W49" s="47">
        <v>1</v>
      </c>
      <c r="X49" s="40">
        <v>1</v>
      </c>
      <c r="Y49" s="47">
        <v>1</v>
      </c>
      <c r="Z49" s="47">
        <v>1</v>
      </c>
      <c r="AA49" s="47">
        <v>1</v>
      </c>
      <c r="AB49" s="47">
        <v>1</v>
      </c>
      <c r="AC49" s="47">
        <v>1</v>
      </c>
      <c r="AD49" s="68">
        <v>1</v>
      </c>
      <c r="AE49" s="56">
        <v>1</v>
      </c>
      <c r="AF49" s="52"/>
    </row>
    <row r="50" spans="2:33" s="24" customFormat="1" ht="16.149999999999999" customHeight="1" x14ac:dyDescent="0.3">
      <c r="B50" s="230"/>
      <c r="C50" s="217"/>
      <c r="D50" s="217"/>
      <c r="E50" s="300"/>
      <c r="F50" s="301"/>
      <c r="G50" s="300"/>
      <c r="H50" s="301"/>
      <c r="I50" s="296"/>
      <c r="J50" s="47"/>
      <c r="K50" s="47"/>
      <c r="L50" s="47"/>
      <c r="M50" s="47"/>
      <c r="N50" s="47"/>
      <c r="O50" s="47"/>
      <c r="P50" s="47"/>
      <c r="Q50" s="40"/>
      <c r="R50" s="47"/>
      <c r="S50" s="47"/>
      <c r="T50" s="47"/>
      <c r="U50" s="47"/>
      <c r="V50" s="47"/>
      <c r="W50" s="47"/>
      <c r="X50" s="40"/>
      <c r="Y50" s="47"/>
      <c r="Z50" s="47"/>
      <c r="AA50" s="47"/>
      <c r="AB50" s="47"/>
      <c r="AC50" s="47"/>
      <c r="AD50" s="68"/>
      <c r="AE50" s="56"/>
      <c r="AF50" s="52"/>
    </row>
    <row r="51" spans="2:33" ht="16.149999999999999" customHeight="1" x14ac:dyDescent="0.3">
      <c r="B51" s="230"/>
      <c r="C51" s="214"/>
      <c r="D51" s="214"/>
      <c r="E51" s="300"/>
      <c r="F51" s="301"/>
      <c r="G51" s="300"/>
      <c r="H51" s="301"/>
      <c r="I51" s="296"/>
      <c r="J51" s="55"/>
      <c r="K51" s="55"/>
      <c r="L51" s="55"/>
      <c r="M51" s="55"/>
      <c r="N51" s="55"/>
      <c r="O51" s="55"/>
      <c r="P51" s="55"/>
      <c r="Q51" s="40"/>
      <c r="R51" s="55"/>
      <c r="S51" s="55"/>
      <c r="T51" s="55"/>
      <c r="U51" s="55"/>
      <c r="V51" s="55"/>
      <c r="W51" s="55"/>
      <c r="X51" s="40"/>
      <c r="Y51" s="55"/>
      <c r="Z51" s="55"/>
      <c r="AA51" s="55"/>
      <c r="AB51" s="55"/>
      <c r="AC51" s="55"/>
      <c r="AD51" s="247"/>
      <c r="AE51" s="188"/>
      <c r="AF51" s="38"/>
      <c r="AG51" s="1"/>
    </row>
    <row r="52" spans="2:33" ht="16.149999999999999" customHeight="1" x14ac:dyDescent="0.3">
      <c r="B52" s="230"/>
      <c r="C52" s="214"/>
      <c r="D52" s="214"/>
      <c r="E52" s="300"/>
      <c r="F52" s="301"/>
      <c r="G52" s="300"/>
      <c r="H52" s="301"/>
      <c r="I52" s="296"/>
      <c r="J52" s="55"/>
      <c r="K52" s="55"/>
      <c r="L52" s="55"/>
      <c r="M52" s="55"/>
      <c r="N52" s="55"/>
      <c r="O52" s="55"/>
      <c r="P52" s="55"/>
      <c r="Q52" s="40"/>
      <c r="R52" s="55"/>
      <c r="S52" s="55"/>
      <c r="T52" s="55"/>
      <c r="U52" s="55"/>
      <c r="V52" s="55"/>
      <c r="W52" s="55"/>
      <c r="X52" s="40"/>
      <c r="Y52" s="55"/>
      <c r="Z52" s="55"/>
      <c r="AA52" s="55"/>
      <c r="AB52" s="55"/>
      <c r="AC52" s="55"/>
      <c r="AD52" s="303"/>
      <c r="AE52" s="56"/>
      <c r="AF52" s="38"/>
      <c r="AG52" s="1"/>
    </row>
    <row r="53" spans="2:33" ht="16.149999999999999" customHeight="1" x14ac:dyDescent="0.3">
      <c r="B53" s="230"/>
      <c r="C53" s="214"/>
      <c r="D53" s="214"/>
      <c r="E53" s="300"/>
      <c r="F53" s="301"/>
      <c r="G53" s="300"/>
      <c r="H53" s="301"/>
      <c r="I53" s="296"/>
      <c r="J53" s="55"/>
      <c r="K53" s="55"/>
      <c r="L53" s="55"/>
      <c r="M53" s="55"/>
      <c r="N53" s="55"/>
      <c r="O53" s="55"/>
      <c r="P53" s="55"/>
      <c r="Q53" s="40"/>
      <c r="R53" s="55"/>
      <c r="S53" s="55"/>
      <c r="T53" s="55"/>
      <c r="U53" s="55"/>
      <c r="V53" s="55"/>
      <c r="W53" s="55"/>
      <c r="X53" s="40"/>
      <c r="Y53" s="55"/>
      <c r="Z53" s="55"/>
      <c r="AA53" s="55"/>
      <c r="AB53" s="55"/>
      <c r="AC53" s="55"/>
      <c r="AD53" s="303"/>
      <c r="AE53" s="56"/>
      <c r="AF53" s="38"/>
      <c r="AG53" s="1"/>
    </row>
    <row r="54" spans="2:33" ht="16.149999999999999" customHeight="1" x14ac:dyDescent="0.3">
      <c r="B54" s="230"/>
      <c r="C54" s="214"/>
      <c r="D54" s="214"/>
      <c r="E54" s="300"/>
      <c r="F54" s="301"/>
      <c r="G54" s="300"/>
      <c r="H54" s="301"/>
      <c r="I54" s="296"/>
      <c r="J54" s="55"/>
      <c r="K54" s="55"/>
      <c r="L54" s="55"/>
      <c r="M54" s="55"/>
      <c r="N54" s="55"/>
      <c r="O54" s="55"/>
      <c r="P54" s="55"/>
      <c r="Q54" s="40"/>
      <c r="R54" s="55"/>
      <c r="S54" s="55"/>
      <c r="T54" s="55"/>
      <c r="U54" s="55"/>
      <c r="V54" s="55"/>
      <c r="W54" s="55"/>
      <c r="X54" s="40"/>
      <c r="Y54" s="55"/>
      <c r="Z54" s="55"/>
      <c r="AA54" s="55"/>
      <c r="AB54" s="55"/>
      <c r="AC54" s="55"/>
      <c r="AD54" s="303"/>
      <c r="AE54" s="56"/>
      <c r="AF54" s="38"/>
      <c r="AG54" s="1"/>
    </row>
    <row r="55" spans="2:33" ht="16.149999999999999" customHeight="1" x14ac:dyDescent="0.3">
      <c r="B55" s="230"/>
      <c r="C55" s="214"/>
      <c r="D55" s="214"/>
      <c r="E55" s="300"/>
      <c r="F55" s="301"/>
      <c r="G55" s="300"/>
      <c r="H55" s="301"/>
      <c r="I55" s="296"/>
      <c r="J55" s="55"/>
      <c r="K55" s="55"/>
      <c r="L55" s="55"/>
      <c r="M55" s="55"/>
      <c r="N55" s="55"/>
      <c r="O55" s="55"/>
      <c r="P55" s="55"/>
      <c r="Q55" s="40"/>
      <c r="R55" s="55"/>
      <c r="S55" s="55"/>
      <c r="T55" s="55"/>
      <c r="U55" s="55"/>
      <c r="V55" s="55"/>
      <c r="W55" s="55"/>
      <c r="X55" s="40"/>
      <c r="Y55" s="55"/>
      <c r="Z55" s="55"/>
      <c r="AA55" s="55"/>
      <c r="AB55" s="55"/>
      <c r="AC55" s="55"/>
      <c r="AD55" s="303"/>
      <c r="AE55" s="56"/>
      <c r="AF55" s="38"/>
      <c r="AG55" s="1"/>
    </row>
    <row r="56" spans="2:33" ht="16.149999999999999" customHeight="1" x14ac:dyDescent="0.3">
      <c r="B56" s="230"/>
      <c r="C56" s="214"/>
      <c r="D56" s="214"/>
      <c r="E56" s="300"/>
      <c r="F56" s="301"/>
      <c r="G56" s="300"/>
      <c r="H56" s="301"/>
      <c r="I56" s="296"/>
      <c r="J56" s="55"/>
      <c r="K56" s="55"/>
      <c r="L56" s="55"/>
      <c r="M56" s="55"/>
      <c r="N56" s="55"/>
      <c r="O56" s="55"/>
      <c r="P56" s="55"/>
      <c r="Q56" s="40"/>
      <c r="R56" s="55"/>
      <c r="S56" s="55"/>
      <c r="T56" s="55"/>
      <c r="U56" s="55"/>
      <c r="V56" s="55"/>
      <c r="W56" s="55"/>
      <c r="X56" s="40"/>
      <c r="Y56" s="55"/>
      <c r="Z56" s="55"/>
      <c r="AA56" s="55"/>
      <c r="AB56" s="55"/>
      <c r="AC56" s="55"/>
      <c r="AD56" s="303"/>
      <c r="AE56" s="56"/>
      <c r="AF56" s="38"/>
      <c r="AG56" s="1"/>
    </row>
    <row r="57" spans="2:33" ht="16.149999999999999" customHeight="1" x14ac:dyDescent="0.3">
      <c r="B57" s="230"/>
      <c r="C57" s="214"/>
      <c r="D57" s="214"/>
      <c r="E57" s="300"/>
      <c r="F57" s="301"/>
      <c r="G57" s="300"/>
      <c r="H57" s="301"/>
      <c r="I57" s="296"/>
      <c r="J57" s="55"/>
      <c r="K57" s="55"/>
      <c r="L57" s="55"/>
      <c r="M57" s="55"/>
      <c r="N57" s="55"/>
      <c r="O57" s="55"/>
      <c r="P57" s="55"/>
      <c r="Q57" s="40"/>
      <c r="R57" s="55"/>
      <c r="S57" s="55"/>
      <c r="T57" s="55"/>
      <c r="U57" s="55"/>
      <c r="V57" s="55"/>
      <c r="W57" s="55"/>
      <c r="X57" s="40"/>
      <c r="Y57" s="55"/>
      <c r="Z57" s="55"/>
      <c r="AA57" s="55"/>
      <c r="AB57" s="55"/>
      <c r="AC57" s="55"/>
      <c r="AD57" s="303"/>
      <c r="AE57" s="56"/>
      <c r="AF57" s="38"/>
      <c r="AG57" s="1"/>
    </row>
    <row r="58" spans="2:33" ht="16.149999999999999" customHeight="1" x14ac:dyDescent="0.3">
      <c r="B58" s="230"/>
      <c r="C58" s="214"/>
      <c r="D58" s="214"/>
      <c r="E58" s="300"/>
      <c r="F58" s="301"/>
      <c r="G58" s="300"/>
      <c r="H58" s="301"/>
      <c r="I58" s="296"/>
      <c r="J58" s="55"/>
      <c r="K58" s="55"/>
      <c r="L58" s="55"/>
      <c r="M58" s="55"/>
      <c r="N58" s="55"/>
      <c r="O58" s="55"/>
      <c r="P58" s="55"/>
      <c r="Q58" s="40"/>
      <c r="R58" s="55"/>
      <c r="S58" s="55"/>
      <c r="T58" s="55"/>
      <c r="U58" s="55"/>
      <c r="V58" s="55"/>
      <c r="W58" s="55"/>
      <c r="X58" s="40"/>
      <c r="Y58" s="55"/>
      <c r="Z58" s="55"/>
      <c r="AA58" s="55"/>
      <c r="AB58" s="55"/>
      <c r="AC58" s="55"/>
      <c r="AD58" s="55"/>
      <c r="AE58" s="56"/>
      <c r="AF58" s="38"/>
      <c r="AG58" s="1"/>
    </row>
    <row r="59" spans="2:33" ht="16.149999999999999" customHeight="1" x14ac:dyDescent="0.3">
      <c r="B59" s="230" t="s">
        <v>67</v>
      </c>
      <c r="C59" s="214"/>
      <c r="D59" s="214"/>
      <c r="E59" s="300"/>
      <c r="F59" s="300"/>
      <c r="G59" s="300"/>
      <c r="H59" s="300"/>
      <c r="I59" s="291">
        <v>0</v>
      </c>
      <c r="J59" s="55">
        <v>1</v>
      </c>
      <c r="K59" s="55">
        <v>1</v>
      </c>
      <c r="L59" s="55">
        <v>1</v>
      </c>
      <c r="M59" s="55">
        <v>1</v>
      </c>
      <c r="N59" s="55">
        <v>1</v>
      </c>
      <c r="O59" s="55">
        <v>1</v>
      </c>
      <c r="P59" s="55">
        <v>1</v>
      </c>
      <c r="Q59" s="40"/>
      <c r="R59" s="55">
        <v>1</v>
      </c>
      <c r="S59" s="55">
        <v>1</v>
      </c>
      <c r="T59" s="55">
        <v>1</v>
      </c>
      <c r="U59" s="55">
        <v>1</v>
      </c>
      <c r="V59" s="55">
        <v>1</v>
      </c>
      <c r="W59" s="55">
        <v>1</v>
      </c>
      <c r="X59" s="40">
        <v>1</v>
      </c>
      <c r="Y59" s="55">
        <v>1</v>
      </c>
      <c r="Z59" s="55">
        <v>1</v>
      </c>
      <c r="AA59" s="55">
        <v>1</v>
      </c>
      <c r="AB59" s="55">
        <v>1</v>
      </c>
      <c r="AC59" s="55">
        <v>1</v>
      </c>
      <c r="AD59" s="55">
        <v>1</v>
      </c>
      <c r="AE59" s="56"/>
      <c r="AF59" s="38"/>
      <c r="AG59" s="1"/>
    </row>
    <row r="60" spans="2:33" ht="16.149999999999999" customHeight="1" x14ac:dyDescent="0.3">
      <c r="B60" s="230" t="s">
        <v>67</v>
      </c>
      <c r="C60" s="214"/>
      <c r="D60" s="214"/>
      <c r="E60" s="300"/>
      <c r="F60" s="300"/>
      <c r="G60" s="300"/>
      <c r="H60" s="300"/>
      <c r="I60" s="291">
        <v>0</v>
      </c>
      <c r="J60" s="55">
        <v>1</v>
      </c>
      <c r="K60" s="55">
        <v>1</v>
      </c>
      <c r="L60" s="55">
        <v>1</v>
      </c>
      <c r="M60" s="55">
        <v>1</v>
      </c>
      <c r="N60" s="55">
        <v>1</v>
      </c>
      <c r="O60" s="55">
        <v>1</v>
      </c>
      <c r="P60" s="55">
        <v>1</v>
      </c>
      <c r="Q60" s="40"/>
      <c r="R60" s="55">
        <v>1</v>
      </c>
      <c r="S60" s="55">
        <v>1</v>
      </c>
      <c r="T60" s="55">
        <v>1</v>
      </c>
      <c r="U60" s="55">
        <v>1</v>
      </c>
      <c r="V60" s="55">
        <v>1</v>
      </c>
      <c r="W60" s="55">
        <v>1</v>
      </c>
      <c r="X60" s="40">
        <v>1</v>
      </c>
      <c r="Y60" s="55">
        <v>1</v>
      </c>
      <c r="Z60" s="55">
        <v>1</v>
      </c>
      <c r="AA60" s="55">
        <v>1</v>
      </c>
      <c r="AB60" s="55">
        <v>1</v>
      </c>
      <c r="AC60" s="55">
        <v>1</v>
      </c>
      <c r="AD60" s="55">
        <v>1</v>
      </c>
      <c r="AE60" s="56">
        <v>0.8</v>
      </c>
      <c r="AF60" s="38"/>
      <c r="AG60" s="1"/>
    </row>
    <row r="61" spans="2:33" s="24" customFormat="1" ht="16.149999999999999" customHeight="1" x14ac:dyDescent="0.3">
      <c r="B61" s="230" t="s">
        <v>68</v>
      </c>
      <c r="C61" s="214"/>
      <c r="D61" s="214"/>
      <c r="E61" s="300"/>
      <c r="F61" s="300"/>
      <c r="G61" s="300"/>
      <c r="H61" s="300"/>
      <c r="I61" s="291">
        <v>0</v>
      </c>
      <c r="J61" s="47">
        <v>1</v>
      </c>
      <c r="K61" s="47">
        <v>1</v>
      </c>
      <c r="L61" s="47">
        <v>1</v>
      </c>
      <c r="M61" s="47">
        <v>1</v>
      </c>
      <c r="N61" s="47">
        <v>1</v>
      </c>
      <c r="O61" s="47">
        <v>1</v>
      </c>
      <c r="P61" s="47">
        <v>1</v>
      </c>
      <c r="Q61" s="40"/>
      <c r="R61" s="47">
        <v>1</v>
      </c>
      <c r="S61" s="47">
        <v>1</v>
      </c>
      <c r="T61" s="47">
        <v>1</v>
      </c>
      <c r="U61" s="47">
        <v>1</v>
      </c>
      <c r="V61" s="47">
        <v>1</v>
      </c>
      <c r="W61" s="47">
        <v>1</v>
      </c>
      <c r="X61" s="40">
        <v>1</v>
      </c>
      <c r="Y61" s="47">
        <v>1</v>
      </c>
      <c r="Z61" s="47">
        <v>1</v>
      </c>
      <c r="AA61" s="47">
        <v>1</v>
      </c>
      <c r="AB61" s="47">
        <v>1</v>
      </c>
      <c r="AC61" s="47">
        <v>1</v>
      </c>
      <c r="AD61" s="68">
        <v>1</v>
      </c>
      <c r="AE61" s="56">
        <v>1</v>
      </c>
      <c r="AF61" s="52" t="s">
        <v>149</v>
      </c>
    </row>
    <row r="62" spans="2:33" s="24" customFormat="1" ht="15.65" customHeight="1" x14ac:dyDescent="0.3">
      <c r="B62" s="230" t="s">
        <v>69</v>
      </c>
      <c r="C62" s="246"/>
      <c r="D62" s="246"/>
      <c r="E62" s="300"/>
      <c r="F62" s="300"/>
      <c r="G62" s="300"/>
      <c r="H62" s="300"/>
      <c r="I62" s="291">
        <v>0</v>
      </c>
      <c r="J62" s="55">
        <v>0</v>
      </c>
      <c r="K62" s="55">
        <v>0</v>
      </c>
      <c r="L62" s="55">
        <v>0</v>
      </c>
      <c r="M62" s="55">
        <v>0</v>
      </c>
      <c r="N62" s="55">
        <v>0</v>
      </c>
      <c r="O62" s="55">
        <v>0</v>
      </c>
      <c r="P62" s="55">
        <v>0</v>
      </c>
      <c r="Q62" s="57"/>
      <c r="R62" s="55">
        <v>0</v>
      </c>
      <c r="S62" s="55">
        <v>0</v>
      </c>
      <c r="T62" s="55">
        <v>0</v>
      </c>
      <c r="U62" s="55">
        <v>0</v>
      </c>
      <c r="V62" s="55">
        <v>0</v>
      </c>
      <c r="W62" s="55">
        <v>0</v>
      </c>
      <c r="X62" s="40">
        <v>1</v>
      </c>
      <c r="Y62" s="55">
        <v>0</v>
      </c>
      <c r="Z62" s="55">
        <v>0</v>
      </c>
      <c r="AA62" s="55">
        <v>0</v>
      </c>
      <c r="AB62" s="55">
        <v>0</v>
      </c>
      <c r="AC62" s="55">
        <v>0</v>
      </c>
      <c r="AD62" s="55">
        <v>0</v>
      </c>
      <c r="AE62" s="244">
        <v>0.36</v>
      </c>
      <c r="AF62" s="38"/>
    </row>
    <row r="63" spans="2:33" s="24" customFormat="1" ht="15.65" customHeight="1" x14ac:dyDescent="0.3">
      <c r="B63" s="230" t="s">
        <v>70</v>
      </c>
      <c r="C63" s="246"/>
      <c r="D63" s="246"/>
      <c r="E63" s="300"/>
      <c r="F63" s="300"/>
      <c r="G63" s="300"/>
      <c r="H63" s="300"/>
      <c r="I63" s="291">
        <v>0</v>
      </c>
      <c r="J63" s="47">
        <v>1</v>
      </c>
      <c r="K63" s="47">
        <v>1</v>
      </c>
      <c r="L63" s="47">
        <v>1</v>
      </c>
      <c r="M63" s="47">
        <v>1</v>
      </c>
      <c r="N63" s="47">
        <v>1</v>
      </c>
      <c r="O63" s="47">
        <v>1</v>
      </c>
      <c r="P63" s="47">
        <v>1</v>
      </c>
      <c r="Q63" s="40"/>
      <c r="R63" s="47">
        <v>1</v>
      </c>
      <c r="S63" s="47">
        <v>1</v>
      </c>
      <c r="T63" s="47">
        <v>1</v>
      </c>
      <c r="U63" s="47">
        <v>1</v>
      </c>
      <c r="V63" s="47">
        <v>1</v>
      </c>
      <c r="W63" s="47">
        <v>1</v>
      </c>
      <c r="X63" s="40">
        <v>1</v>
      </c>
      <c r="Y63" s="47">
        <v>1</v>
      </c>
      <c r="Z63" s="47">
        <v>1</v>
      </c>
      <c r="AA63" s="47">
        <v>1</v>
      </c>
      <c r="AB63" s="47">
        <v>1</v>
      </c>
      <c r="AC63" s="47">
        <v>1</v>
      </c>
      <c r="AD63" s="68">
        <v>1</v>
      </c>
      <c r="AE63" s="244"/>
      <c r="AF63" s="38"/>
    </row>
    <row r="64" spans="2:33" s="24" customFormat="1" ht="15.65" customHeight="1" x14ac:dyDescent="0.3">
      <c r="B64" s="230" t="s">
        <v>71</v>
      </c>
      <c r="C64" s="246"/>
      <c r="D64" s="246"/>
      <c r="E64" s="300"/>
      <c r="F64" s="300"/>
      <c r="G64" s="300"/>
      <c r="H64" s="300"/>
      <c r="I64" s="291">
        <v>0</v>
      </c>
      <c r="J64" s="47">
        <v>0</v>
      </c>
      <c r="K64" s="47">
        <v>0</v>
      </c>
      <c r="L64" s="47">
        <v>0</v>
      </c>
      <c r="M64" s="47">
        <v>0</v>
      </c>
      <c r="N64" s="47">
        <v>0</v>
      </c>
      <c r="O64" s="47">
        <v>0</v>
      </c>
      <c r="P64" s="47">
        <v>0</v>
      </c>
      <c r="Q64" s="57"/>
      <c r="R64" s="47">
        <v>0</v>
      </c>
      <c r="S64" s="47">
        <v>0</v>
      </c>
      <c r="T64" s="47">
        <v>0</v>
      </c>
      <c r="U64" s="47">
        <v>0</v>
      </c>
      <c r="V64" s="47">
        <v>0</v>
      </c>
      <c r="W64" s="47">
        <v>0</v>
      </c>
      <c r="X64" s="40">
        <v>1</v>
      </c>
      <c r="Y64" s="47">
        <v>0</v>
      </c>
      <c r="Z64" s="47">
        <v>0</v>
      </c>
      <c r="AA64" s="47">
        <v>0</v>
      </c>
      <c r="AB64" s="47">
        <v>0</v>
      </c>
      <c r="AC64" s="47">
        <v>0</v>
      </c>
      <c r="AD64" s="47">
        <v>0</v>
      </c>
      <c r="AE64" s="244"/>
      <c r="AF64" s="38"/>
    </row>
    <row r="65" spans="2:46" s="24" customFormat="1" ht="15.65" customHeight="1" x14ac:dyDescent="0.3">
      <c r="B65" s="230" t="s">
        <v>72</v>
      </c>
      <c r="C65" s="246"/>
      <c r="D65" s="246"/>
      <c r="E65" s="300"/>
      <c r="F65" s="300"/>
      <c r="G65" s="300"/>
      <c r="H65" s="300"/>
      <c r="I65" s="291">
        <v>0</v>
      </c>
      <c r="J65" s="55">
        <v>0</v>
      </c>
      <c r="K65" s="55">
        <v>0</v>
      </c>
      <c r="L65" s="55">
        <v>0</v>
      </c>
      <c r="M65" s="55">
        <v>0</v>
      </c>
      <c r="N65" s="55">
        <v>0</v>
      </c>
      <c r="O65" s="55">
        <v>0</v>
      </c>
      <c r="P65" s="55">
        <v>0</v>
      </c>
      <c r="Q65" s="57"/>
      <c r="R65" s="55">
        <v>0</v>
      </c>
      <c r="S65" s="55">
        <v>0</v>
      </c>
      <c r="T65" s="55">
        <v>0</v>
      </c>
      <c r="U65" s="55">
        <v>0</v>
      </c>
      <c r="V65" s="55">
        <v>0</v>
      </c>
      <c r="W65" s="55">
        <v>0</v>
      </c>
      <c r="X65" s="40">
        <v>1</v>
      </c>
      <c r="Y65" s="55">
        <v>0</v>
      </c>
      <c r="Z65" s="55">
        <v>0</v>
      </c>
      <c r="AA65" s="55">
        <v>0</v>
      </c>
      <c r="AB65" s="55">
        <v>0</v>
      </c>
      <c r="AC65" s="55">
        <v>0</v>
      </c>
      <c r="AD65" s="55">
        <v>0</v>
      </c>
      <c r="AE65" s="244"/>
      <c r="AF65" s="38"/>
    </row>
    <row r="66" spans="2:46" s="24" customFormat="1" ht="15.65" customHeight="1" x14ac:dyDescent="0.3">
      <c r="B66" s="213" t="s">
        <v>73</v>
      </c>
      <c r="C66" s="246"/>
      <c r="D66" s="246"/>
      <c r="E66" s="300"/>
      <c r="F66" s="300"/>
      <c r="G66" s="300"/>
      <c r="H66" s="300"/>
      <c r="I66" s="291">
        <v>0</v>
      </c>
      <c r="J66" s="47">
        <v>1</v>
      </c>
      <c r="K66" s="47">
        <v>1</v>
      </c>
      <c r="L66" s="47">
        <v>1</v>
      </c>
      <c r="M66" s="47">
        <v>1</v>
      </c>
      <c r="N66" s="47">
        <v>1</v>
      </c>
      <c r="O66" s="47">
        <v>1</v>
      </c>
      <c r="P66" s="47">
        <v>1</v>
      </c>
      <c r="Q66" s="40"/>
      <c r="R66" s="47">
        <v>1</v>
      </c>
      <c r="S66" s="47">
        <v>1</v>
      </c>
      <c r="T66" s="47">
        <v>1</v>
      </c>
      <c r="U66" s="47">
        <v>1</v>
      </c>
      <c r="V66" s="47">
        <v>1</v>
      </c>
      <c r="W66" s="47">
        <v>1</v>
      </c>
      <c r="X66" s="40">
        <v>1</v>
      </c>
      <c r="Y66" s="47">
        <v>1</v>
      </c>
      <c r="Z66" s="47">
        <v>1</v>
      </c>
      <c r="AA66" s="47">
        <v>1</v>
      </c>
      <c r="AB66" s="47">
        <v>1</v>
      </c>
      <c r="AC66" s="47">
        <v>1</v>
      </c>
      <c r="AD66" s="68">
        <v>1</v>
      </c>
      <c r="AE66" s="244"/>
      <c r="AF66" s="43"/>
    </row>
    <row r="67" spans="2:46" s="24" customFormat="1" ht="15.65" customHeight="1" x14ac:dyDescent="0.3">
      <c r="B67" s="213" t="s">
        <v>74</v>
      </c>
      <c r="C67" s="246"/>
      <c r="D67" s="246"/>
      <c r="E67" s="300"/>
      <c r="F67" s="300"/>
      <c r="G67" s="300"/>
      <c r="H67" s="300"/>
      <c r="I67" s="291">
        <v>0</v>
      </c>
      <c r="J67" s="47">
        <v>0</v>
      </c>
      <c r="K67" s="47">
        <v>0</v>
      </c>
      <c r="L67" s="47">
        <v>0</v>
      </c>
      <c r="M67" s="47">
        <v>0</v>
      </c>
      <c r="N67" s="47">
        <v>0</v>
      </c>
      <c r="O67" s="47">
        <v>0</v>
      </c>
      <c r="P67" s="47">
        <v>0</v>
      </c>
      <c r="Q67" s="57"/>
      <c r="R67" s="47">
        <v>0</v>
      </c>
      <c r="S67" s="47">
        <v>0</v>
      </c>
      <c r="T67" s="47">
        <v>0</v>
      </c>
      <c r="U67" s="47">
        <v>0</v>
      </c>
      <c r="V67" s="47">
        <v>0</v>
      </c>
      <c r="W67" s="47">
        <v>0</v>
      </c>
      <c r="X67" s="40">
        <v>1</v>
      </c>
      <c r="Y67" s="47">
        <v>0</v>
      </c>
      <c r="Z67" s="47">
        <v>0</v>
      </c>
      <c r="AA67" s="47">
        <v>0</v>
      </c>
      <c r="AB67" s="47">
        <v>0</v>
      </c>
      <c r="AC67" s="47">
        <v>0</v>
      </c>
      <c r="AD67" s="47">
        <v>0</v>
      </c>
      <c r="AE67" s="244"/>
      <c r="AF67" s="38"/>
    </row>
    <row r="68" spans="2:46" s="24" customFormat="1" ht="15.65" customHeight="1" x14ac:dyDescent="0.3">
      <c r="B68" s="213" t="s">
        <v>75</v>
      </c>
      <c r="C68" s="246"/>
      <c r="D68" s="246"/>
      <c r="E68" s="300"/>
      <c r="F68" s="300"/>
      <c r="G68" s="300"/>
      <c r="H68" s="300"/>
      <c r="I68" s="291">
        <v>0</v>
      </c>
      <c r="J68" s="47">
        <v>0</v>
      </c>
      <c r="K68" s="47">
        <v>0</v>
      </c>
      <c r="L68" s="47">
        <v>0</v>
      </c>
      <c r="M68" s="47">
        <v>0</v>
      </c>
      <c r="N68" s="47">
        <v>0</v>
      </c>
      <c r="O68" s="47">
        <v>0</v>
      </c>
      <c r="P68" s="47">
        <v>0</v>
      </c>
      <c r="Q68" s="40"/>
      <c r="R68" s="47">
        <v>0</v>
      </c>
      <c r="S68" s="47">
        <v>0</v>
      </c>
      <c r="T68" s="47">
        <v>0</v>
      </c>
      <c r="U68" s="47">
        <v>0</v>
      </c>
      <c r="V68" s="47">
        <v>0</v>
      </c>
      <c r="W68" s="47">
        <v>0</v>
      </c>
      <c r="X68" s="40">
        <v>1</v>
      </c>
      <c r="Y68" s="47">
        <v>0</v>
      </c>
      <c r="Z68" s="47">
        <v>0</v>
      </c>
      <c r="AA68" s="47">
        <v>0</v>
      </c>
      <c r="AB68" s="47">
        <v>0</v>
      </c>
      <c r="AC68" s="47">
        <v>0</v>
      </c>
      <c r="AD68" s="47">
        <v>0</v>
      </c>
      <c r="AE68" s="244"/>
      <c r="AF68" s="38"/>
    </row>
    <row r="69" spans="2:46" s="24" customFormat="1" ht="15.65" customHeight="1" x14ac:dyDescent="0.3">
      <c r="B69" s="213" t="s">
        <v>76</v>
      </c>
      <c r="C69" s="246"/>
      <c r="D69" s="246"/>
      <c r="E69" s="300"/>
      <c r="F69" s="300"/>
      <c r="G69" s="300"/>
      <c r="H69" s="300"/>
      <c r="I69" s="291">
        <v>0</v>
      </c>
      <c r="J69" s="47">
        <v>0</v>
      </c>
      <c r="K69" s="47">
        <v>0</v>
      </c>
      <c r="L69" s="47">
        <v>0</v>
      </c>
      <c r="M69" s="47">
        <v>0</v>
      </c>
      <c r="N69" s="47">
        <v>0</v>
      </c>
      <c r="O69" s="47">
        <v>0</v>
      </c>
      <c r="P69" s="47">
        <v>0</v>
      </c>
      <c r="Q69" s="57"/>
      <c r="R69" s="47">
        <v>0</v>
      </c>
      <c r="S69" s="47">
        <v>0</v>
      </c>
      <c r="T69" s="47">
        <v>0</v>
      </c>
      <c r="U69" s="47">
        <v>0</v>
      </c>
      <c r="V69" s="47">
        <v>0</v>
      </c>
      <c r="W69" s="47">
        <v>0</v>
      </c>
      <c r="X69" s="40">
        <v>1</v>
      </c>
      <c r="Y69" s="47">
        <v>0</v>
      </c>
      <c r="Z69" s="47">
        <v>0</v>
      </c>
      <c r="AA69" s="47">
        <v>0</v>
      </c>
      <c r="AB69" s="47">
        <v>0</v>
      </c>
      <c r="AC69" s="47">
        <v>0</v>
      </c>
      <c r="AD69" s="47">
        <v>0</v>
      </c>
      <c r="AE69" s="244"/>
      <c r="AF69" s="38"/>
    </row>
    <row r="70" spans="2:46" s="24" customFormat="1" ht="15.65" customHeight="1" x14ac:dyDescent="0.3">
      <c r="B70" s="261" t="s">
        <v>77</v>
      </c>
      <c r="C70" s="249"/>
      <c r="D70" s="249"/>
      <c r="E70" s="300"/>
      <c r="F70" s="300"/>
      <c r="G70" s="300"/>
      <c r="H70" s="300"/>
      <c r="I70" s="291">
        <v>0</v>
      </c>
      <c r="J70" s="55">
        <v>0</v>
      </c>
      <c r="K70" s="55">
        <v>0</v>
      </c>
      <c r="L70" s="55">
        <v>0</v>
      </c>
      <c r="M70" s="55">
        <v>0</v>
      </c>
      <c r="N70" s="55">
        <v>0</v>
      </c>
      <c r="O70" s="55">
        <v>0</v>
      </c>
      <c r="P70" s="55">
        <v>0</v>
      </c>
      <c r="Q70" s="57"/>
      <c r="R70" s="55">
        <v>0</v>
      </c>
      <c r="S70" s="55">
        <v>0</v>
      </c>
      <c r="T70" s="55">
        <v>0</v>
      </c>
      <c r="U70" s="55">
        <v>0</v>
      </c>
      <c r="V70" s="55">
        <v>0</v>
      </c>
      <c r="W70" s="55">
        <v>0</v>
      </c>
      <c r="X70" s="40">
        <v>1</v>
      </c>
      <c r="Y70" s="55">
        <v>0</v>
      </c>
      <c r="Z70" s="55">
        <v>0</v>
      </c>
      <c r="AA70" s="55">
        <v>0</v>
      </c>
      <c r="AB70" s="55">
        <v>0</v>
      </c>
      <c r="AC70" s="55">
        <v>0</v>
      </c>
      <c r="AD70" s="55">
        <v>0</v>
      </c>
      <c r="AE70" s="244"/>
      <c r="AF70" s="38"/>
    </row>
    <row r="71" spans="2:46" s="24" customFormat="1" ht="15.65" customHeight="1" thickBot="1" x14ac:dyDescent="0.35">
      <c r="B71" s="228" t="s">
        <v>78</v>
      </c>
      <c r="C71" s="249"/>
      <c r="D71" s="249"/>
      <c r="E71" s="300"/>
      <c r="F71" s="300"/>
      <c r="G71" s="300"/>
      <c r="H71" s="300"/>
      <c r="I71" s="291">
        <v>0</v>
      </c>
      <c r="J71" s="47">
        <v>0</v>
      </c>
      <c r="K71" s="47">
        <v>0</v>
      </c>
      <c r="L71" s="47">
        <v>0</v>
      </c>
      <c r="M71" s="47">
        <v>0</v>
      </c>
      <c r="N71" s="47">
        <v>0</v>
      </c>
      <c r="O71" s="47">
        <v>0</v>
      </c>
      <c r="P71" s="47">
        <v>0</v>
      </c>
      <c r="Q71" s="252"/>
      <c r="R71" s="251"/>
      <c r="S71" s="251"/>
      <c r="T71" s="251"/>
      <c r="U71" s="251"/>
      <c r="V71" s="251"/>
      <c r="W71" s="251"/>
      <c r="X71" s="40">
        <v>1</v>
      </c>
      <c r="Y71" s="251"/>
      <c r="Z71" s="251"/>
      <c r="AA71" s="251"/>
      <c r="AB71" s="251"/>
      <c r="AC71" s="251"/>
      <c r="AD71" s="253"/>
      <c r="AE71" s="244"/>
      <c r="AF71" s="38"/>
    </row>
    <row r="72" spans="2:46" ht="13.9" customHeight="1" x14ac:dyDescent="0.2">
      <c r="B72" s="279" t="s">
        <v>79</v>
      </c>
      <c r="C72" s="254"/>
      <c r="D72" s="254"/>
      <c r="E72" s="297"/>
      <c r="F72" s="297"/>
      <c r="G72" s="297"/>
      <c r="H72" s="297"/>
      <c r="I72" s="297"/>
      <c r="J72" s="255"/>
      <c r="K72" s="255"/>
      <c r="L72" s="255"/>
      <c r="M72" s="255"/>
      <c r="N72" s="255"/>
      <c r="O72" s="255"/>
      <c r="P72" s="255"/>
      <c r="Q72" s="255"/>
      <c r="R72" s="255"/>
      <c r="S72" s="255"/>
      <c r="T72" s="255"/>
      <c r="U72" s="255"/>
      <c r="V72" s="255"/>
      <c r="W72" s="255"/>
      <c r="X72" s="255"/>
      <c r="Y72" s="255"/>
      <c r="Z72" s="255"/>
      <c r="AA72" s="255"/>
      <c r="AB72" s="255"/>
      <c r="AC72" s="255"/>
      <c r="AD72" s="256"/>
      <c r="AE72" s="58"/>
      <c r="AF72" s="59"/>
      <c r="AG72" s="1"/>
    </row>
    <row r="73" spans="2:46" ht="18.649999999999999" customHeight="1" x14ac:dyDescent="0.3">
      <c r="B73" s="230" t="s">
        <v>81</v>
      </c>
      <c r="C73" s="248"/>
      <c r="D73" s="248"/>
      <c r="E73" s="300"/>
      <c r="F73" s="300"/>
      <c r="G73" s="300"/>
      <c r="H73" s="300"/>
      <c r="I73" s="291">
        <v>0</v>
      </c>
      <c r="J73" s="55">
        <v>1</v>
      </c>
      <c r="K73" s="55">
        <v>1</v>
      </c>
      <c r="L73" s="55">
        <v>1</v>
      </c>
      <c r="M73" s="55">
        <v>1</v>
      </c>
      <c r="N73" s="55">
        <v>1</v>
      </c>
      <c r="O73" s="55">
        <v>1</v>
      </c>
      <c r="P73" s="55">
        <v>1</v>
      </c>
      <c r="Q73" s="57"/>
      <c r="R73" s="55">
        <v>1</v>
      </c>
      <c r="S73" s="55">
        <v>1</v>
      </c>
      <c r="T73" s="55">
        <v>1</v>
      </c>
      <c r="U73" s="55">
        <v>1</v>
      </c>
      <c r="V73" s="55">
        <v>1</v>
      </c>
      <c r="W73" s="55">
        <v>1</v>
      </c>
      <c r="X73" s="57">
        <v>0</v>
      </c>
      <c r="Y73" s="55">
        <v>1</v>
      </c>
      <c r="Z73" s="55">
        <v>1</v>
      </c>
      <c r="AA73" s="55">
        <v>1</v>
      </c>
      <c r="AB73" s="55">
        <v>1</v>
      </c>
      <c r="AC73" s="55">
        <v>1</v>
      </c>
      <c r="AD73" s="247">
        <v>1</v>
      </c>
      <c r="AE73" s="61">
        <v>1</v>
      </c>
      <c r="AF73" s="38"/>
      <c r="AG73" s="1"/>
      <c r="AK73" s="60">
        <v>1</v>
      </c>
      <c r="AL73" s="60">
        <v>0</v>
      </c>
      <c r="AM73" s="60">
        <v>0</v>
      </c>
      <c r="AN73" s="60">
        <v>0</v>
      </c>
      <c r="AO73" s="60">
        <v>0</v>
      </c>
      <c r="AP73" s="60">
        <v>0</v>
      </c>
      <c r="AQ73" s="60">
        <v>0</v>
      </c>
      <c r="AR73" s="60">
        <v>0</v>
      </c>
      <c r="AS73" s="60">
        <v>0</v>
      </c>
      <c r="AT73" s="60">
        <v>0</v>
      </c>
    </row>
    <row r="74" spans="2:46" ht="18.649999999999999" customHeight="1" x14ac:dyDescent="0.3">
      <c r="B74" s="230" t="s">
        <v>82</v>
      </c>
      <c r="C74" s="248"/>
      <c r="D74" s="248"/>
      <c r="E74" s="300"/>
      <c r="F74" s="300"/>
      <c r="G74" s="300"/>
      <c r="H74" s="300"/>
      <c r="I74" s="291">
        <v>0</v>
      </c>
      <c r="J74" s="55">
        <v>0</v>
      </c>
      <c r="K74" s="55">
        <v>0</v>
      </c>
      <c r="L74" s="55">
        <v>0</v>
      </c>
      <c r="M74" s="55">
        <v>0</v>
      </c>
      <c r="N74" s="55">
        <v>0</v>
      </c>
      <c r="O74" s="55">
        <v>0</v>
      </c>
      <c r="P74" s="55">
        <v>0</v>
      </c>
      <c r="Q74" s="57"/>
      <c r="R74" s="55">
        <v>0</v>
      </c>
      <c r="S74" s="55">
        <v>0</v>
      </c>
      <c r="T74" s="55">
        <v>0</v>
      </c>
      <c r="U74" s="55">
        <v>0</v>
      </c>
      <c r="V74" s="55">
        <v>0</v>
      </c>
      <c r="W74" s="55">
        <v>0</v>
      </c>
      <c r="X74" s="57">
        <v>0</v>
      </c>
      <c r="Y74" s="55">
        <v>0</v>
      </c>
      <c r="Z74" s="55">
        <v>0</v>
      </c>
      <c r="AA74" s="55">
        <v>0</v>
      </c>
      <c r="AB74" s="55">
        <v>0</v>
      </c>
      <c r="AC74" s="55">
        <v>0</v>
      </c>
      <c r="AD74" s="247">
        <v>0</v>
      </c>
      <c r="AE74" s="61">
        <v>0</v>
      </c>
      <c r="AF74" s="38"/>
      <c r="AG74" s="1"/>
      <c r="AK74" s="60">
        <v>0</v>
      </c>
      <c r="AL74" s="60">
        <v>0</v>
      </c>
      <c r="AM74" s="60">
        <v>0</v>
      </c>
      <c r="AN74" s="60">
        <v>0</v>
      </c>
      <c r="AO74" s="60">
        <v>0</v>
      </c>
      <c r="AP74" s="60">
        <v>0</v>
      </c>
      <c r="AQ74" s="60">
        <v>0</v>
      </c>
      <c r="AR74" s="60">
        <v>0</v>
      </c>
      <c r="AS74" s="60">
        <v>0</v>
      </c>
      <c r="AT74" s="60">
        <v>0</v>
      </c>
    </row>
    <row r="75" spans="2:46" ht="18.649999999999999" customHeight="1" x14ac:dyDescent="0.3">
      <c r="B75" s="230" t="s">
        <v>83</v>
      </c>
      <c r="C75" s="248"/>
      <c r="D75" s="248"/>
      <c r="E75" s="300"/>
      <c r="F75" s="300"/>
      <c r="G75" s="300"/>
      <c r="H75" s="300"/>
      <c r="I75" s="291">
        <v>0</v>
      </c>
      <c r="J75" s="55">
        <v>0</v>
      </c>
      <c r="K75" s="55">
        <v>0</v>
      </c>
      <c r="L75" s="55">
        <v>0</v>
      </c>
      <c r="M75" s="55">
        <v>0</v>
      </c>
      <c r="N75" s="55">
        <v>0</v>
      </c>
      <c r="O75" s="55">
        <v>0</v>
      </c>
      <c r="P75" s="55">
        <v>0</v>
      </c>
      <c r="Q75" s="57"/>
      <c r="R75" s="55">
        <v>0</v>
      </c>
      <c r="S75" s="55">
        <v>0</v>
      </c>
      <c r="T75" s="55">
        <v>0</v>
      </c>
      <c r="U75" s="55">
        <v>0</v>
      </c>
      <c r="V75" s="55">
        <v>0</v>
      </c>
      <c r="W75" s="55">
        <v>0</v>
      </c>
      <c r="X75" s="57">
        <v>0</v>
      </c>
      <c r="Y75" s="55">
        <v>0</v>
      </c>
      <c r="Z75" s="55">
        <v>0</v>
      </c>
      <c r="AA75" s="55">
        <v>0</v>
      </c>
      <c r="AB75" s="55">
        <v>0</v>
      </c>
      <c r="AC75" s="55">
        <v>0</v>
      </c>
      <c r="AD75" s="247">
        <v>0</v>
      </c>
      <c r="AE75" s="61">
        <v>1</v>
      </c>
      <c r="AF75" s="38"/>
      <c r="AG75" s="1"/>
      <c r="AK75" s="60">
        <v>0</v>
      </c>
      <c r="AL75" s="60">
        <v>1</v>
      </c>
      <c r="AM75" s="60">
        <v>0</v>
      </c>
      <c r="AN75" s="60">
        <v>0</v>
      </c>
      <c r="AO75" s="60">
        <v>0</v>
      </c>
      <c r="AP75" s="60">
        <v>0</v>
      </c>
      <c r="AQ75" s="60">
        <v>0</v>
      </c>
      <c r="AR75" s="60">
        <v>0</v>
      </c>
      <c r="AS75" s="60">
        <v>0</v>
      </c>
      <c r="AT75" s="60">
        <v>0</v>
      </c>
    </row>
    <row r="76" spans="2:46" ht="18.649999999999999" customHeight="1" x14ac:dyDescent="0.3">
      <c r="B76" s="230" t="s">
        <v>84</v>
      </c>
      <c r="C76" s="248"/>
      <c r="D76" s="248"/>
      <c r="E76" s="300"/>
      <c r="F76" s="300"/>
      <c r="G76" s="300"/>
      <c r="H76" s="300"/>
      <c r="I76" s="291">
        <v>0</v>
      </c>
      <c r="J76" s="55">
        <v>0</v>
      </c>
      <c r="K76" s="55">
        <v>0</v>
      </c>
      <c r="L76" s="55">
        <v>0</v>
      </c>
      <c r="M76" s="55">
        <v>0</v>
      </c>
      <c r="N76" s="55">
        <v>0</v>
      </c>
      <c r="O76" s="55">
        <v>0</v>
      </c>
      <c r="P76" s="55">
        <v>0</v>
      </c>
      <c r="Q76" s="57"/>
      <c r="R76" s="55">
        <v>0</v>
      </c>
      <c r="S76" s="55">
        <v>0</v>
      </c>
      <c r="T76" s="55">
        <v>0</v>
      </c>
      <c r="U76" s="55">
        <v>0</v>
      </c>
      <c r="V76" s="55">
        <v>0</v>
      </c>
      <c r="W76" s="55">
        <v>0</v>
      </c>
      <c r="X76" s="57">
        <v>0</v>
      </c>
      <c r="Y76" s="55">
        <v>0</v>
      </c>
      <c r="Z76" s="55">
        <v>0</v>
      </c>
      <c r="AA76" s="55">
        <v>0</v>
      </c>
      <c r="AB76" s="55">
        <v>0</v>
      </c>
      <c r="AC76" s="55">
        <v>0</v>
      </c>
      <c r="AD76" s="247">
        <v>0</v>
      </c>
      <c r="AE76" s="61">
        <v>1</v>
      </c>
      <c r="AF76" s="38"/>
      <c r="AG76" s="1"/>
      <c r="AK76" s="60">
        <v>0</v>
      </c>
      <c r="AL76" s="60">
        <v>0</v>
      </c>
      <c r="AM76" s="60">
        <v>1</v>
      </c>
      <c r="AN76" s="60">
        <v>0</v>
      </c>
      <c r="AO76" s="60">
        <v>0</v>
      </c>
      <c r="AP76" s="60">
        <v>0</v>
      </c>
      <c r="AQ76" s="60">
        <v>0</v>
      </c>
      <c r="AR76" s="60">
        <v>0</v>
      </c>
      <c r="AS76" s="60">
        <v>1</v>
      </c>
      <c r="AT76" s="60">
        <v>1</v>
      </c>
    </row>
    <row r="77" spans="2:46" ht="18.649999999999999" customHeight="1" thickBot="1" x14ac:dyDescent="0.35">
      <c r="B77" s="278" t="s">
        <v>85</v>
      </c>
      <c r="C77" s="262"/>
      <c r="D77" s="262"/>
      <c r="E77" s="300"/>
      <c r="F77" s="300"/>
      <c r="G77" s="300"/>
      <c r="H77" s="300"/>
      <c r="I77" s="291">
        <v>0</v>
      </c>
      <c r="J77" s="251">
        <v>0</v>
      </c>
      <c r="K77" s="251">
        <v>0</v>
      </c>
      <c r="L77" s="251">
        <v>0</v>
      </c>
      <c r="M77" s="251">
        <v>0</v>
      </c>
      <c r="N77" s="251">
        <v>0</v>
      </c>
      <c r="O77" s="251">
        <v>0</v>
      </c>
      <c r="P77" s="251">
        <v>0</v>
      </c>
      <c r="Q77" s="252"/>
      <c r="R77" s="251">
        <v>0</v>
      </c>
      <c r="S77" s="251">
        <v>0</v>
      </c>
      <c r="T77" s="251">
        <v>0</v>
      </c>
      <c r="U77" s="251">
        <v>0</v>
      </c>
      <c r="V77" s="251">
        <v>0</v>
      </c>
      <c r="W77" s="251">
        <v>0</v>
      </c>
      <c r="X77" s="252">
        <v>0</v>
      </c>
      <c r="Y77" s="251">
        <v>0</v>
      </c>
      <c r="Z77" s="251">
        <v>0</v>
      </c>
      <c r="AA77" s="251">
        <v>0</v>
      </c>
      <c r="AB77" s="251">
        <v>0</v>
      </c>
      <c r="AC77" s="251">
        <v>0</v>
      </c>
      <c r="AD77" s="253">
        <v>0</v>
      </c>
      <c r="AE77" s="63">
        <v>1</v>
      </c>
      <c r="AF77" s="64"/>
      <c r="AG77" s="1"/>
      <c r="AK77" s="60">
        <v>0</v>
      </c>
      <c r="AL77" s="60">
        <v>0</v>
      </c>
      <c r="AM77" s="60">
        <v>0</v>
      </c>
      <c r="AN77" s="55">
        <v>1</v>
      </c>
      <c r="AO77" s="55">
        <v>1</v>
      </c>
      <c r="AP77" s="55">
        <v>1</v>
      </c>
      <c r="AQ77" s="55">
        <v>1</v>
      </c>
      <c r="AR77" s="55">
        <v>1</v>
      </c>
      <c r="AS77" s="60">
        <v>0</v>
      </c>
      <c r="AT77" s="60">
        <v>0</v>
      </c>
    </row>
    <row r="78" spans="2:46" ht="16.149999999999999" customHeight="1" thickBot="1" x14ac:dyDescent="0.3">
      <c r="B78" s="231" t="s">
        <v>86</v>
      </c>
      <c r="C78" s="216"/>
      <c r="D78" s="216"/>
      <c r="E78" s="216"/>
      <c r="F78" s="216"/>
      <c r="G78" s="216"/>
      <c r="H78" s="216"/>
      <c r="I78" s="292"/>
      <c r="J78" s="31"/>
      <c r="K78" s="31"/>
      <c r="L78" s="31"/>
      <c r="M78" s="31"/>
      <c r="N78" s="31"/>
      <c r="O78" s="31"/>
      <c r="P78" s="31"/>
      <c r="Q78" s="31"/>
      <c r="R78" s="31"/>
      <c r="S78" s="31"/>
      <c r="T78" s="31"/>
      <c r="U78" s="31"/>
      <c r="V78" s="31"/>
      <c r="W78" s="31"/>
      <c r="X78" s="31"/>
      <c r="Y78" s="31"/>
      <c r="Z78" s="31"/>
      <c r="AA78" s="31"/>
      <c r="AB78" s="31"/>
      <c r="AC78" s="31"/>
      <c r="AD78" s="45"/>
      <c r="AE78" s="260"/>
      <c r="AF78" s="65"/>
      <c r="AG78" s="1"/>
    </row>
    <row r="79" spans="2:46" s="24" customFormat="1" ht="16.149999999999999" customHeight="1" x14ac:dyDescent="0.3">
      <c r="B79" s="230" t="s">
        <v>87</v>
      </c>
      <c r="C79" s="207"/>
      <c r="D79" s="207"/>
      <c r="E79" s="300"/>
      <c r="F79" s="300"/>
      <c r="G79" s="300"/>
      <c r="H79" s="300"/>
      <c r="I79" s="291">
        <v>0</v>
      </c>
      <c r="J79" s="47">
        <v>1</v>
      </c>
      <c r="K79" s="47">
        <v>1</v>
      </c>
      <c r="L79" s="47">
        <v>1</v>
      </c>
      <c r="M79" s="47">
        <v>1</v>
      </c>
      <c r="N79" s="47">
        <v>1</v>
      </c>
      <c r="O79" s="47">
        <v>1</v>
      </c>
      <c r="P79" s="47">
        <v>1</v>
      </c>
      <c r="Q79" s="40"/>
      <c r="R79" s="47">
        <v>1</v>
      </c>
      <c r="S79" s="47">
        <v>1</v>
      </c>
      <c r="T79" s="47">
        <v>1</v>
      </c>
      <c r="U79" s="47">
        <v>1</v>
      </c>
      <c r="V79" s="47">
        <v>1</v>
      </c>
      <c r="W79" s="47">
        <v>1</v>
      </c>
      <c r="X79" s="40">
        <v>1</v>
      </c>
      <c r="Y79" s="47">
        <v>1</v>
      </c>
      <c r="Z79" s="47">
        <v>1</v>
      </c>
      <c r="AA79" s="47">
        <v>1</v>
      </c>
      <c r="AB79" s="47">
        <v>1</v>
      </c>
      <c r="AC79" s="47">
        <v>1</v>
      </c>
      <c r="AD79" s="68">
        <v>1</v>
      </c>
      <c r="AE79" s="66">
        <v>1</v>
      </c>
      <c r="AF79" s="67"/>
    </row>
    <row r="80" spans="2:46" s="24" customFormat="1" ht="16.149999999999999" customHeight="1" x14ac:dyDescent="0.3">
      <c r="B80" s="230" t="s">
        <v>88</v>
      </c>
      <c r="C80" s="214"/>
      <c r="D80" s="214"/>
      <c r="E80" s="300"/>
      <c r="F80" s="300"/>
      <c r="G80" s="300"/>
      <c r="H80" s="300"/>
      <c r="I80" s="291">
        <v>0</v>
      </c>
      <c r="J80" s="47">
        <v>1</v>
      </c>
      <c r="K80" s="47">
        <v>1</v>
      </c>
      <c r="L80" s="47">
        <v>1</v>
      </c>
      <c r="M80" s="47">
        <v>1</v>
      </c>
      <c r="N80" s="47">
        <v>1</v>
      </c>
      <c r="O80" s="47">
        <v>1</v>
      </c>
      <c r="P80" s="47">
        <v>1</v>
      </c>
      <c r="Q80" s="40"/>
      <c r="R80" s="47">
        <v>1</v>
      </c>
      <c r="S80" s="47">
        <v>1</v>
      </c>
      <c r="T80" s="47">
        <v>1</v>
      </c>
      <c r="U80" s="47">
        <v>1</v>
      </c>
      <c r="V80" s="47">
        <v>1</v>
      </c>
      <c r="W80" s="47">
        <v>1</v>
      </c>
      <c r="X80" s="40">
        <v>1</v>
      </c>
      <c r="Y80" s="47">
        <v>1</v>
      </c>
      <c r="Z80" s="47">
        <v>1</v>
      </c>
      <c r="AA80" s="47">
        <v>1</v>
      </c>
      <c r="AB80" s="47">
        <v>1</v>
      </c>
      <c r="AC80" s="47">
        <v>1</v>
      </c>
      <c r="AD80" s="68">
        <v>1</v>
      </c>
      <c r="AE80" s="56">
        <v>1</v>
      </c>
      <c r="AF80" s="52"/>
    </row>
    <row r="81" spans="2:38" s="24" customFormat="1" ht="16.149999999999999" customHeight="1" x14ac:dyDescent="0.3">
      <c r="B81" s="230" t="s">
        <v>89</v>
      </c>
      <c r="C81" s="214"/>
      <c r="D81" s="214"/>
      <c r="E81" s="300"/>
      <c r="F81" s="300"/>
      <c r="G81" s="300"/>
      <c r="H81" s="300"/>
      <c r="I81" s="291">
        <v>0</v>
      </c>
      <c r="J81" s="47">
        <v>1</v>
      </c>
      <c r="K81" s="47">
        <v>1</v>
      </c>
      <c r="L81" s="47">
        <v>1</v>
      </c>
      <c r="M81" s="47">
        <v>1</v>
      </c>
      <c r="N81" s="47">
        <v>0</v>
      </c>
      <c r="O81" s="47">
        <v>0</v>
      </c>
      <c r="P81" s="47">
        <v>0</v>
      </c>
      <c r="Q81" s="40"/>
      <c r="R81" s="47">
        <v>1</v>
      </c>
      <c r="S81" s="47">
        <v>1</v>
      </c>
      <c r="T81" s="47">
        <v>1</v>
      </c>
      <c r="U81" s="47">
        <v>0</v>
      </c>
      <c r="V81" s="47">
        <v>0</v>
      </c>
      <c r="W81" s="47">
        <v>0</v>
      </c>
      <c r="X81" s="40">
        <v>1</v>
      </c>
      <c r="Y81" s="47">
        <v>1</v>
      </c>
      <c r="Z81" s="47">
        <v>1</v>
      </c>
      <c r="AA81" s="47">
        <v>1</v>
      </c>
      <c r="AB81" s="47">
        <v>0</v>
      </c>
      <c r="AC81" s="47">
        <v>0</v>
      </c>
      <c r="AD81" s="68">
        <v>0</v>
      </c>
      <c r="AE81" s="56">
        <v>1</v>
      </c>
      <c r="AF81" s="52" t="s">
        <v>150</v>
      </c>
    </row>
    <row r="82" spans="2:38" s="24" customFormat="1" ht="16.149999999999999" customHeight="1" x14ac:dyDescent="0.3">
      <c r="B82" s="230" t="s">
        <v>90</v>
      </c>
      <c r="C82" s="214"/>
      <c r="D82" s="214"/>
      <c r="E82" s="300"/>
      <c r="F82" s="300"/>
      <c r="G82" s="300"/>
      <c r="H82" s="300"/>
      <c r="I82" s="291">
        <v>0</v>
      </c>
      <c r="J82" s="47">
        <v>0</v>
      </c>
      <c r="K82" s="47">
        <v>0</v>
      </c>
      <c r="L82" s="47">
        <v>0</v>
      </c>
      <c r="M82" s="47">
        <v>0</v>
      </c>
      <c r="N82" s="47">
        <v>0</v>
      </c>
      <c r="O82" s="47">
        <v>0</v>
      </c>
      <c r="P82" s="47">
        <v>0</v>
      </c>
      <c r="Q82" s="40"/>
      <c r="R82" s="47">
        <v>0</v>
      </c>
      <c r="S82" s="47">
        <v>0</v>
      </c>
      <c r="T82" s="47">
        <v>0</v>
      </c>
      <c r="U82" s="47">
        <v>0</v>
      </c>
      <c r="V82" s="47">
        <v>0</v>
      </c>
      <c r="W82" s="47">
        <v>0</v>
      </c>
      <c r="X82" s="40"/>
      <c r="Y82" s="47">
        <v>0</v>
      </c>
      <c r="Z82" s="47">
        <v>0</v>
      </c>
      <c r="AA82" s="47">
        <v>0</v>
      </c>
      <c r="AB82" s="47">
        <v>0</v>
      </c>
      <c r="AC82" s="47">
        <v>0</v>
      </c>
      <c r="AD82" s="47">
        <v>0</v>
      </c>
      <c r="AE82" s="259"/>
      <c r="AF82" s="52"/>
    </row>
    <row r="83" spans="2:38" s="24" customFormat="1" ht="16.149999999999999" customHeight="1" x14ac:dyDescent="0.3">
      <c r="B83" s="230" t="s">
        <v>91</v>
      </c>
      <c r="C83" s="214"/>
      <c r="D83" s="214"/>
      <c r="E83" s="300"/>
      <c r="F83" s="300"/>
      <c r="G83" s="300"/>
      <c r="H83" s="300"/>
      <c r="I83" s="291">
        <v>0</v>
      </c>
      <c r="J83" s="47">
        <v>0</v>
      </c>
      <c r="K83" s="47">
        <v>0</v>
      </c>
      <c r="L83" s="47">
        <v>0</v>
      </c>
      <c r="M83" s="47">
        <v>0</v>
      </c>
      <c r="N83" s="47">
        <v>0</v>
      </c>
      <c r="O83" s="47">
        <v>0</v>
      </c>
      <c r="P83" s="47">
        <v>0</v>
      </c>
      <c r="Q83" s="40"/>
      <c r="R83" s="47">
        <v>0</v>
      </c>
      <c r="S83" s="47">
        <v>0</v>
      </c>
      <c r="T83" s="47">
        <v>0</v>
      </c>
      <c r="U83" s="47">
        <v>0</v>
      </c>
      <c r="V83" s="47">
        <v>0</v>
      </c>
      <c r="W83" s="47">
        <v>0</v>
      </c>
      <c r="X83" s="40"/>
      <c r="Y83" s="47">
        <v>0</v>
      </c>
      <c r="Z83" s="47">
        <v>0</v>
      </c>
      <c r="AA83" s="47">
        <v>0</v>
      </c>
      <c r="AB83" s="47">
        <v>0</v>
      </c>
      <c r="AC83" s="47">
        <v>0</v>
      </c>
      <c r="AD83" s="47">
        <v>0</v>
      </c>
      <c r="AE83" s="259"/>
      <c r="AF83" s="52"/>
    </row>
    <row r="84" spans="2:38" s="24" customFormat="1" ht="16.149999999999999" customHeight="1" x14ac:dyDescent="0.3">
      <c r="B84" s="230" t="s">
        <v>92</v>
      </c>
      <c r="C84" s="214"/>
      <c r="D84" s="214"/>
      <c r="E84" s="300"/>
      <c r="F84" s="300"/>
      <c r="G84" s="300"/>
      <c r="H84" s="300"/>
      <c r="I84" s="291">
        <v>0</v>
      </c>
      <c r="J84" s="47">
        <v>0</v>
      </c>
      <c r="K84" s="47">
        <v>0</v>
      </c>
      <c r="L84" s="47">
        <v>0</v>
      </c>
      <c r="M84" s="47">
        <v>0</v>
      </c>
      <c r="N84" s="47">
        <v>0</v>
      </c>
      <c r="O84" s="47">
        <v>0</v>
      </c>
      <c r="P84" s="47">
        <v>0</v>
      </c>
      <c r="Q84" s="40"/>
      <c r="R84" s="47">
        <v>0</v>
      </c>
      <c r="S84" s="47">
        <v>0</v>
      </c>
      <c r="T84" s="47">
        <v>0</v>
      </c>
      <c r="U84" s="47">
        <v>0</v>
      </c>
      <c r="V84" s="47">
        <v>0</v>
      </c>
      <c r="W84" s="47">
        <v>0</v>
      </c>
      <c r="X84" s="40"/>
      <c r="Y84" s="47">
        <v>0</v>
      </c>
      <c r="Z84" s="47">
        <v>0</v>
      </c>
      <c r="AA84" s="47">
        <v>0</v>
      </c>
      <c r="AB84" s="47">
        <v>0</v>
      </c>
      <c r="AC84" s="47">
        <v>0</v>
      </c>
      <c r="AD84" s="47">
        <v>0</v>
      </c>
      <c r="AE84" s="259"/>
      <c r="AF84" s="52"/>
    </row>
    <row r="85" spans="2:38" s="24" customFormat="1" ht="16.149999999999999" customHeight="1" x14ac:dyDescent="0.3">
      <c r="B85" s="230" t="s">
        <v>93</v>
      </c>
      <c r="C85" s="214"/>
      <c r="D85" s="214"/>
      <c r="E85" s="300"/>
      <c r="F85" s="300"/>
      <c r="G85" s="300"/>
      <c r="H85" s="300"/>
      <c r="I85" s="291">
        <v>0</v>
      </c>
      <c r="J85" s="47">
        <v>0</v>
      </c>
      <c r="K85" s="47">
        <v>0</v>
      </c>
      <c r="L85" s="47">
        <v>0</v>
      </c>
      <c r="M85" s="47">
        <v>0</v>
      </c>
      <c r="N85" s="47">
        <v>0</v>
      </c>
      <c r="O85" s="47">
        <v>0</v>
      </c>
      <c r="P85" s="47">
        <v>0</v>
      </c>
      <c r="Q85" s="40"/>
      <c r="R85" s="47">
        <v>0</v>
      </c>
      <c r="S85" s="47">
        <v>0</v>
      </c>
      <c r="T85" s="47">
        <v>0</v>
      </c>
      <c r="U85" s="47">
        <v>0</v>
      </c>
      <c r="V85" s="47">
        <v>0</v>
      </c>
      <c r="W85" s="47">
        <v>0</v>
      </c>
      <c r="X85" s="40"/>
      <c r="Y85" s="47">
        <v>0</v>
      </c>
      <c r="Z85" s="47">
        <v>0</v>
      </c>
      <c r="AA85" s="47">
        <v>0</v>
      </c>
      <c r="AB85" s="47">
        <v>0</v>
      </c>
      <c r="AC85" s="47">
        <v>0</v>
      </c>
      <c r="AD85" s="47">
        <v>0</v>
      </c>
      <c r="AE85" s="259"/>
      <c r="AF85" s="52"/>
    </row>
    <row r="86" spans="2:38" s="24" customFormat="1" ht="16.149999999999999" customHeight="1" thickBot="1" x14ac:dyDescent="0.35">
      <c r="B86" s="230" t="s">
        <v>94</v>
      </c>
      <c r="C86" s="229"/>
      <c r="D86" s="229"/>
      <c r="E86" s="300"/>
      <c r="F86" s="300"/>
      <c r="G86" s="300"/>
      <c r="H86" s="300"/>
      <c r="I86" s="291">
        <v>0</v>
      </c>
      <c r="J86" s="47">
        <v>0</v>
      </c>
      <c r="K86" s="47">
        <v>0</v>
      </c>
      <c r="L86" s="47">
        <v>0</v>
      </c>
      <c r="M86" s="47">
        <v>0</v>
      </c>
      <c r="N86" s="47">
        <v>0</v>
      </c>
      <c r="O86" s="47">
        <v>0</v>
      </c>
      <c r="P86" s="47">
        <v>0</v>
      </c>
      <c r="Q86" s="40"/>
      <c r="R86" s="47">
        <v>0</v>
      </c>
      <c r="S86" s="47">
        <v>0</v>
      </c>
      <c r="T86" s="47">
        <v>0</v>
      </c>
      <c r="U86" s="47">
        <v>0</v>
      </c>
      <c r="V86" s="47">
        <v>0</v>
      </c>
      <c r="W86" s="47">
        <v>0</v>
      </c>
      <c r="X86" s="40">
        <v>1</v>
      </c>
      <c r="Y86" s="47">
        <v>0</v>
      </c>
      <c r="Z86" s="47">
        <v>0</v>
      </c>
      <c r="AA86" s="47">
        <v>0</v>
      </c>
      <c r="AB86" s="47">
        <v>0</v>
      </c>
      <c r="AC86" s="47">
        <v>0</v>
      </c>
      <c r="AD86" s="47">
        <v>0</v>
      </c>
      <c r="AE86" s="259"/>
      <c r="AF86" s="52"/>
    </row>
    <row r="87" spans="2:38" ht="13.9" customHeight="1" thickBot="1" x14ac:dyDescent="0.25">
      <c r="B87" s="72"/>
      <c r="C87" s="72"/>
      <c r="D87" s="72"/>
      <c r="E87" s="73" t="s">
        <v>151</v>
      </c>
      <c r="F87" s="73" t="s">
        <v>151</v>
      </c>
      <c r="G87" s="73" t="s">
        <v>151</v>
      </c>
      <c r="H87" s="73" t="s">
        <v>151</v>
      </c>
      <c r="I87" s="74"/>
      <c r="J87" s="75"/>
      <c r="K87" s="75"/>
      <c r="L87" s="75"/>
      <c r="M87" s="75"/>
      <c r="N87" s="75"/>
      <c r="O87" s="75"/>
      <c r="P87" s="75"/>
      <c r="Q87" s="76"/>
      <c r="R87" s="75"/>
      <c r="S87" s="75"/>
      <c r="T87" s="75"/>
      <c r="U87" s="75"/>
      <c r="V87" s="75"/>
      <c r="W87" s="75"/>
      <c r="X87" s="76"/>
      <c r="Y87" s="75"/>
      <c r="Z87" s="75"/>
      <c r="AA87" s="75"/>
      <c r="AB87" s="75"/>
      <c r="AC87" s="24"/>
      <c r="AD87" s="24"/>
      <c r="AE87" s="24"/>
      <c r="AF87" s="24"/>
      <c r="AG87" s="24"/>
      <c r="AH87" s="24"/>
      <c r="AI87" s="24"/>
      <c r="AJ87" s="24"/>
      <c r="AK87" s="24"/>
      <c r="AL87" s="24"/>
    </row>
    <row r="88" spans="2:38" s="24" customFormat="1" ht="13.9" customHeight="1" thickBot="1" x14ac:dyDescent="0.4">
      <c r="B88" s="77" t="s">
        <v>95</v>
      </c>
      <c r="C88" s="78">
        <v>14</v>
      </c>
      <c r="E88" s="73" t="s">
        <v>151</v>
      </c>
      <c r="F88" s="73" t="s">
        <v>151</v>
      </c>
      <c r="G88" s="73" t="s">
        <v>151</v>
      </c>
      <c r="H88" s="73" t="s">
        <v>151</v>
      </c>
      <c r="I88" s="79"/>
      <c r="J88" s="80"/>
      <c r="K88" s="80"/>
      <c r="L88" s="80"/>
      <c r="M88" s="80"/>
      <c r="N88" s="80"/>
      <c r="O88" s="80"/>
      <c r="P88" s="80"/>
      <c r="Q88" s="80"/>
      <c r="R88" s="80"/>
      <c r="S88" s="80"/>
      <c r="T88" s="80"/>
      <c r="U88" s="80"/>
      <c r="V88" s="80"/>
      <c r="W88" s="80"/>
      <c r="X88" s="80"/>
      <c r="Y88" s="80"/>
      <c r="Z88" s="80"/>
      <c r="AA88" s="80"/>
      <c r="AB88" s="80"/>
    </row>
    <row r="89" spans="2:38" s="24" customFormat="1" ht="19.899999999999999" customHeight="1" thickBot="1" x14ac:dyDescent="0.4">
      <c r="C89" s="24">
        <f>C92*13.5</f>
        <v>3375</v>
      </c>
      <c r="E89" s="81" t="s">
        <v>151</v>
      </c>
      <c r="F89" s="81" t="s">
        <v>151</v>
      </c>
      <c r="G89" s="81" t="s">
        <v>151</v>
      </c>
      <c r="H89" s="81" t="s">
        <v>151</v>
      </c>
      <c r="I89" s="79"/>
      <c r="J89" s="80"/>
      <c r="K89" s="80"/>
      <c r="L89" s="80"/>
      <c r="M89" s="80"/>
      <c r="N89" s="80"/>
      <c r="O89" s="80"/>
      <c r="P89" s="80"/>
      <c r="Q89" s="80"/>
      <c r="R89" s="80"/>
      <c r="S89" s="80"/>
      <c r="T89" s="80"/>
      <c r="U89" s="80"/>
      <c r="V89" s="80"/>
      <c r="W89" s="80"/>
      <c r="X89" s="80"/>
      <c r="Y89" s="80"/>
      <c r="Z89" s="80"/>
      <c r="AA89" s="80"/>
      <c r="AB89" s="80"/>
      <c r="AC89" s="80"/>
      <c r="AD89" s="80"/>
      <c r="AE89" s="80"/>
    </row>
    <row r="90" spans="2:38" x14ac:dyDescent="0.25">
      <c r="B90" s="211" t="s">
        <v>96</v>
      </c>
      <c r="C90" s="212"/>
      <c r="D90" s="82">
        <f>C92*C88</f>
        <v>3500</v>
      </c>
      <c r="E90" s="83" t="s">
        <v>151</v>
      </c>
      <c r="F90" s="83" t="s">
        <v>151</v>
      </c>
      <c r="G90" s="83" t="s">
        <v>151</v>
      </c>
      <c r="H90" s="83" t="s">
        <v>151</v>
      </c>
      <c r="I90" s="84"/>
    </row>
    <row r="91" spans="2:38" ht="17.25" customHeight="1" thickBot="1" x14ac:dyDescent="0.3">
      <c r="B91" s="85"/>
      <c r="C91" s="86" t="s">
        <v>97</v>
      </c>
      <c r="D91" s="87" t="s">
        <v>98</v>
      </c>
      <c r="E91" s="83" t="s">
        <v>151</v>
      </c>
      <c r="F91" s="83" t="s">
        <v>151</v>
      </c>
      <c r="G91" s="83" t="s">
        <v>151</v>
      </c>
      <c r="H91" s="83" t="s">
        <v>151</v>
      </c>
    </row>
    <row r="92" spans="2:38" ht="27" customHeight="1" thickBot="1" x14ac:dyDescent="0.3">
      <c r="B92" s="88" t="s">
        <v>99</v>
      </c>
      <c r="C92" s="89">
        <v>250</v>
      </c>
      <c r="D92" s="89">
        <v>250</v>
      </c>
      <c r="E92" s="83" t="s">
        <v>151</v>
      </c>
      <c r="F92" s="83" t="s">
        <v>151</v>
      </c>
      <c r="G92" s="83" t="s">
        <v>151</v>
      </c>
      <c r="H92" s="91" t="s">
        <v>151</v>
      </c>
      <c r="I92" s="92" t="s">
        <v>100</v>
      </c>
      <c r="J92" s="264" t="s">
        <v>138</v>
      </c>
      <c r="K92" s="265" t="s">
        <v>139</v>
      </c>
      <c r="L92" s="265" t="s">
        <v>140</v>
      </c>
      <c r="M92" s="265" t="s">
        <v>141</v>
      </c>
      <c r="N92" s="265" t="s">
        <v>142</v>
      </c>
      <c r="O92" s="265" t="s">
        <v>143</v>
      </c>
      <c r="P92" s="265" t="s">
        <v>31</v>
      </c>
      <c r="Q92" s="268"/>
      <c r="R92" s="266" t="s">
        <v>27</v>
      </c>
      <c r="S92" s="266" t="s">
        <v>144</v>
      </c>
      <c r="T92" s="263" t="s">
        <v>141</v>
      </c>
      <c r="U92" s="263" t="s">
        <v>145</v>
      </c>
      <c r="V92" s="263" t="s">
        <v>30</v>
      </c>
      <c r="W92" s="263" t="s">
        <v>31</v>
      </c>
      <c r="X92" s="268"/>
      <c r="Y92" s="266" t="s">
        <v>27</v>
      </c>
      <c r="Z92" s="266" t="s">
        <v>144</v>
      </c>
      <c r="AA92" s="263" t="s">
        <v>141</v>
      </c>
      <c r="AB92" s="263" t="s">
        <v>145</v>
      </c>
      <c r="AC92" s="263" t="s">
        <v>30</v>
      </c>
      <c r="AD92" s="263" t="s">
        <v>31</v>
      </c>
      <c r="AE92" s="94" t="s">
        <v>101</v>
      </c>
      <c r="AG92" s="328"/>
    </row>
    <row r="93" spans="2:38" ht="13.5" customHeight="1" thickBot="1" x14ac:dyDescent="0.3">
      <c r="B93" s="96" t="s">
        <v>102</v>
      </c>
      <c r="C93" s="89">
        <v>250</v>
      </c>
      <c r="D93" s="89">
        <v>250</v>
      </c>
      <c r="E93" s="83" t="s">
        <v>151</v>
      </c>
      <c r="F93" s="83" t="s">
        <v>151</v>
      </c>
      <c r="G93" s="83" t="s">
        <v>151</v>
      </c>
      <c r="H93" s="91" t="s">
        <v>151</v>
      </c>
      <c r="I93" s="99"/>
      <c r="J93" s="100"/>
      <c r="K93" s="100"/>
      <c r="L93" s="100"/>
      <c r="M93" s="100"/>
      <c r="N93" s="100"/>
      <c r="O93" s="100"/>
      <c r="P93" s="100"/>
      <c r="Q93" s="100"/>
      <c r="R93" s="100"/>
      <c r="S93" s="100"/>
      <c r="T93" s="100"/>
      <c r="U93" s="100"/>
      <c r="V93" s="100"/>
      <c r="W93" s="100"/>
      <c r="X93" s="100"/>
      <c r="Y93" s="100"/>
      <c r="Z93" s="100"/>
      <c r="AA93" s="100"/>
      <c r="AB93" s="100"/>
      <c r="AC93" s="100"/>
      <c r="AD93" s="100"/>
      <c r="AE93" s="101"/>
      <c r="AG93" s="329"/>
    </row>
    <row r="94" spans="2:38" ht="25.5" customHeight="1" thickBot="1" x14ac:dyDescent="0.3">
      <c r="E94" s="83" t="s">
        <v>151</v>
      </c>
      <c r="F94" s="83" t="s">
        <v>151</v>
      </c>
      <c r="G94" s="83" t="s">
        <v>151</v>
      </c>
      <c r="H94" s="387" t="s">
        <v>152</v>
      </c>
      <c r="I94" s="103" t="str">
        <f>F14</f>
        <v>Upper</v>
      </c>
      <c r="J94" s="104">
        <f t="shared" ref="J94:AE94" si="0">SUMPRODUCT($F$15:$F$86,$I$15:$I$86,J15:J86)</f>
        <v>0</v>
      </c>
      <c r="K94" s="104">
        <f t="shared" si="0"/>
        <v>0</v>
      </c>
      <c r="L94" s="104">
        <f t="shared" si="0"/>
        <v>0</v>
      </c>
      <c r="M94" s="104">
        <f t="shared" si="0"/>
        <v>0</v>
      </c>
      <c r="N94" s="104">
        <f t="shared" si="0"/>
        <v>0</v>
      </c>
      <c r="O94" s="104">
        <f t="shared" si="0"/>
        <v>0</v>
      </c>
      <c r="P94" s="104">
        <f t="shared" si="0"/>
        <v>0</v>
      </c>
      <c r="Q94" s="105">
        <f t="shared" si="0"/>
        <v>0</v>
      </c>
      <c r="R94" s="104">
        <f t="shared" si="0"/>
        <v>0</v>
      </c>
      <c r="S94" s="104">
        <f t="shared" si="0"/>
        <v>0</v>
      </c>
      <c r="T94" s="104">
        <f t="shared" si="0"/>
        <v>0</v>
      </c>
      <c r="U94" s="104">
        <f t="shared" si="0"/>
        <v>0</v>
      </c>
      <c r="V94" s="104">
        <f t="shared" si="0"/>
        <v>0</v>
      </c>
      <c r="W94" s="104">
        <f t="shared" si="0"/>
        <v>0</v>
      </c>
      <c r="X94" s="105">
        <f t="shared" si="0"/>
        <v>0</v>
      </c>
      <c r="Y94" s="104">
        <f t="shared" si="0"/>
        <v>0</v>
      </c>
      <c r="Z94" s="104">
        <f t="shared" si="0"/>
        <v>0</v>
      </c>
      <c r="AA94" s="104">
        <f t="shared" si="0"/>
        <v>0</v>
      </c>
      <c r="AB94" s="104">
        <f t="shared" si="0"/>
        <v>0</v>
      </c>
      <c r="AC94" s="104">
        <f t="shared" si="0"/>
        <v>0</v>
      </c>
      <c r="AD94" s="106">
        <f t="shared" si="0"/>
        <v>0</v>
      </c>
      <c r="AE94" s="107">
        <f t="shared" si="0"/>
        <v>0</v>
      </c>
      <c r="AG94" s="108"/>
    </row>
    <row r="95" spans="2:38" ht="25.5" customHeight="1" thickBot="1" x14ac:dyDescent="0.3">
      <c r="B95" s="109" t="s">
        <v>105</v>
      </c>
      <c r="C95" s="110" t="s">
        <v>153</v>
      </c>
      <c r="D95" s="111" t="s">
        <v>154</v>
      </c>
      <c r="E95" s="83" t="s">
        <v>151</v>
      </c>
      <c r="F95" s="83" t="s">
        <v>151</v>
      </c>
      <c r="G95" s="83" t="s">
        <v>151</v>
      </c>
      <c r="H95" s="388"/>
      <c r="I95" s="112" t="str">
        <f>E14</f>
        <v>Base</v>
      </c>
      <c r="J95" s="113">
        <f t="shared" ref="J95:AE95" si="1">SUMPRODUCT($E$15:$E$86,$I$15:$I$86,J15:J86)</f>
        <v>0</v>
      </c>
      <c r="K95" s="113">
        <f t="shared" si="1"/>
        <v>0</v>
      </c>
      <c r="L95" s="113">
        <f t="shared" si="1"/>
        <v>0</v>
      </c>
      <c r="M95" s="113">
        <f t="shared" si="1"/>
        <v>0</v>
      </c>
      <c r="N95" s="113">
        <f t="shared" si="1"/>
        <v>0</v>
      </c>
      <c r="O95" s="113">
        <f t="shared" si="1"/>
        <v>0</v>
      </c>
      <c r="P95" s="113">
        <f t="shared" si="1"/>
        <v>0</v>
      </c>
      <c r="Q95" s="114">
        <f t="shared" si="1"/>
        <v>0</v>
      </c>
      <c r="R95" s="113">
        <f t="shared" si="1"/>
        <v>0</v>
      </c>
      <c r="S95" s="113">
        <f t="shared" si="1"/>
        <v>0</v>
      </c>
      <c r="T95" s="113">
        <f t="shared" si="1"/>
        <v>0</v>
      </c>
      <c r="U95" s="113">
        <f t="shared" si="1"/>
        <v>0</v>
      </c>
      <c r="V95" s="113">
        <f t="shared" si="1"/>
        <v>0</v>
      </c>
      <c r="W95" s="113">
        <f t="shared" si="1"/>
        <v>0</v>
      </c>
      <c r="X95" s="114">
        <f t="shared" si="1"/>
        <v>0</v>
      </c>
      <c r="Y95" s="113">
        <f t="shared" si="1"/>
        <v>0</v>
      </c>
      <c r="Z95" s="113">
        <f t="shared" si="1"/>
        <v>0</v>
      </c>
      <c r="AA95" s="113">
        <f t="shared" si="1"/>
        <v>0</v>
      </c>
      <c r="AB95" s="113">
        <f t="shared" si="1"/>
        <v>0</v>
      </c>
      <c r="AC95" s="113">
        <f t="shared" si="1"/>
        <v>0</v>
      </c>
      <c r="AD95" s="115">
        <f t="shared" si="1"/>
        <v>0</v>
      </c>
      <c r="AE95" s="116">
        <f t="shared" si="1"/>
        <v>0</v>
      </c>
      <c r="AG95" s="108"/>
    </row>
    <row r="96" spans="2:38" ht="25.5" customHeight="1" thickBot="1" x14ac:dyDescent="0.3">
      <c r="E96" s="83" t="s">
        <v>151</v>
      </c>
      <c r="F96" s="83" t="s">
        <v>151</v>
      </c>
      <c r="G96" s="83" t="s">
        <v>151</v>
      </c>
      <c r="H96" s="389" t="s">
        <v>155</v>
      </c>
      <c r="I96" s="117" t="str">
        <f>H14</f>
        <v>Upper</v>
      </c>
      <c r="J96" s="104">
        <f t="shared" ref="J96:P96" si="2">SUMPRODUCT($H$15:$H$86,$I$15:$I$86,J15:J86)</f>
        <v>0</v>
      </c>
      <c r="K96" s="104">
        <f t="shared" si="2"/>
        <v>0</v>
      </c>
      <c r="L96" s="104">
        <f t="shared" si="2"/>
        <v>0</v>
      </c>
      <c r="M96" s="104">
        <f t="shared" si="2"/>
        <v>0</v>
      </c>
      <c r="N96" s="104">
        <f t="shared" si="2"/>
        <v>0</v>
      </c>
      <c r="O96" s="104">
        <f t="shared" si="2"/>
        <v>0</v>
      </c>
      <c r="P96" s="104">
        <f t="shared" si="2"/>
        <v>0</v>
      </c>
      <c r="Q96" s="105">
        <f>SUMPRODUCT($F$15:$F$86,$I$15:$I$86,Q17:Q88)</f>
        <v>0</v>
      </c>
      <c r="R96" s="104">
        <f t="shared" ref="R96:W96" si="3">SUMPRODUCT($H$15:$H$86,$I$15:$I$86,R15:R86)</f>
        <v>0</v>
      </c>
      <c r="S96" s="104">
        <f t="shared" si="3"/>
        <v>0</v>
      </c>
      <c r="T96" s="104">
        <f t="shared" si="3"/>
        <v>0</v>
      </c>
      <c r="U96" s="104">
        <f t="shared" si="3"/>
        <v>0</v>
      </c>
      <c r="V96" s="104">
        <f t="shared" si="3"/>
        <v>0</v>
      </c>
      <c r="W96" s="104">
        <f t="shared" si="3"/>
        <v>0</v>
      </c>
      <c r="X96" s="105">
        <f>SUMPRODUCT($F$15:$F$86,$I$15:$I$86,X17:X88)</f>
        <v>0</v>
      </c>
      <c r="Y96" s="104">
        <f t="shared" ref="Y96:AD96" si="4">SUMPRODUCT($H$15:$H$86,$I$15:$I$86,Y15:Y86)</f>
        <v>0</v>
      </c>
      <c r="Z96" s="104">
        <f t="shared" si="4"/>
        <v>0</v>
      </c>
      <c r="AA96" s="104">
        <f t="shared" si="4"/>
        <v>0</v>
      </c>
      <c r="AB96" s="104">
        <f t="shared" si="4"/>
        <v>0</v>
      </c>
      <c r="AC96" s="104">
        <f t="shared" si="4"/>
        <v>0</v>
      </c>
      <c r="AD96" s="104">
        <f t="shared" si="4"/>
        <v>0</v>
      </c>
      <c r="AE96" s="107">
        <f>SUMPRODUCT($F$15:$F$86,$I$15:$I$86,AE17:AE88)</f>
        <v>0</v>
      </c>
      <c r="AG96" s="108"/>
    </row>
    <row r="97" spans="2:43" ht="25.5" customHeight="1" thickBot="1" x14ac:dyDescent="0.3">
      <c r="E97" s="83" t="s">
        <v>151</v>
      </c>
      <c r="F97" s="83" t="s">
        <v>151</v>
      </c>
      <c r="G97" s="83" t="s">
        <v>151</v>
      </c>
      <c r="H97" s="390"/>
      <c r="I97" s="118" t="str">
        <f>G14</f>
        <v>Base</v>
      </c>
      <c r="J97" s="113">
        <f t="shared" ref="J97:P97" si="5">SUMPRODUCT($G$15:$G$86,$I$15:$I$86,J15:J86)</f>
        <v>0</v>
      </c>
      <c r="K97" s="113">
        <f t="shared" si="5"/>
        <v>0</v>
      </c>
      <c r="L97" s="113">
        <f t="shared" si="5"/>
        <v>0</v>
      </c>
      <c r="M97" s="113">
        <f t="shared" si="5"/>
        <v>0</v>
      </c>
      <c r="N97" s="113">
        <f t="shared" si="5"/>
        <v>0</v>
      </c>
      <c r="O97" s="113">
        <f t="shared" si="5"/>
        <v>0</v>
      </c>
      <c r="P97" s="113">
        <f t="shared" si="5"/>
        <v>0</v>
      </c>
      <c r="Q97" s="114">
        <f>SUMPRODUCT($E$15:$E$86,$I$15:$I$86,Q17:Q88)</f>
        <v>0</v>
      </c>
      <c r="R97" s="113">
        <f t="shared" ref="R97:W97" si="6">SUMPRODUCT($G$15:$G$86,$I$15:$I$86,R15:R86)</f>
        <v>0</v>
      </c>
      <c r="S97" s="113">
        <f t="shared" si="6"/>
        <v>0</v>
      </c>
      <c r="T97" s="113">
        <f t="shared" si="6"/>
        <v>0</v>
      </c>
      <c r="U97" s="113">
        <f t="shared" si="6"/>
        <v>0</v>
      </c>
      <c r="V97" s="113">
        <f t="shared" si="6"/>
        <v>0</v>
      </c>
      <c r="W97" s="113">
        <f t="shared" si="6"/>
        <v>0</v>
      </c>
      <c r="X97" s="114">
        <f>SUMPRODUCT($E$15:$E$86,$I$15:$I$86,X17:X88)</f>
        <v>0</v>
      </c>
      <c r="Y97" s="113">
        <f t="shared" ref="Y97:AD97" si="7">SUMPRODUCT($G$15:$G$86,$I$15:$I$86,Y15:Y86)</f>
        <v>0</v>
      </c>
      <c r="Z97" s="113">
        <f t="shared" si="7"/>
        <v>0</v>
      </c>
      <c r="AA97" s="113">
        <f t="shared" si="7"/>
        <v>0</v>
      </c>
      <c r="AB97" s="113">
        <f t="shared" si="7"/>
        <v>0</v>
      </c>
      <c r="AC97" s="113">
        <f t="shared" si="7"/>
        <v>0</v>
      </c>
      <c r="AD97" s="113">
        <f t="shared" si="7"/>
        <v>0</v>
      </c>
      <c r="AE97" s="116">
        <f>SUMPRODUCT($E$15:$E$86,$I$15:$I$86,AE17:AE88)</f>
        <v>0</v>
      </c>
      <c r="AG97" s="108"/>
    </row>
    <row r="98" spans="2:43" ht="12" thickBot="1" x14ac:dyDescent="0.3">
      <c r="E98" s="83" t="s">
        <v>151</v>
      </c>
      <c r="F98" s="83" t="s">
        <v>151</v>
      </c>
      <c r="G98" s="83" t="s">
        <v>151</v>
      </c>
      <c r="I98" s="119"/>
      <c r="J98" s="120"/>
      <c r="K98" s="120"/>
      <c r="L98" s="120"/>
      <c r="M98" s="120"/>
      <c r="N98" s="120"/>
      <c r="O98" s="120"/>
      <c r="P98" s="120"/>
      <c r="Q98" s="120"/>
      <c r="R98" s="120"/>
      <c r="S98" s="120"/>
      <c r="T98" s="120"/>
      <c r="U98" s="120"/>
      <c r="V98" s="120"/>
      <c r="W98" s="120"/>
      <c r="X98" s="120"/>
      <c r="Y98" s="120"/>
      <c r="Z98" s="120"/>
      <c r="AA98" s="120"/>
      <c r="AB98" s="120"/>
      <c r="AC98" s="120"/>
      <c r="AD98" s="120"/>
      <c r="AE98" s="120"/>
      <c r="AG98" s="121"/>
    </row>
    <row r="99" spans="2:43" ht="12.75" customHeight="1" x14ac:dyDescent="0.25">
      <c r="E99" s="324" t="s">
        <v>107</v>
      </c>
      <c r="F99" s="325"/>
      <c r="G99" s="324" t="s">
        <v>107</v>
      </c>
      <c r="H99" s="325"/>
      <c r="I99" s="326" t="str">
        <f>F14</f>
        <v>Upper</v>
      </c>
      <c r="J99" s="122">
        <f>IF(J94&gt;0, (C92-J94),0)</f>
        <v>0</v>
      </c>
      <c r="K99" s="122">
        <f>IF(K94&gt;0, (C92-K94),0)</f>
        <v>0</v>
      </c>
      <c r="L99" s="122">
        <f>IF(L94&gt;0, (C92-L94),0)</f>
        <v>0</v>
      </c>
      <c r="M99" s="122">
        <f>IF(M94&gt;0, (C92-M94),0)</f>
        <v>0</v>
      </c>
      <c r="N99" s="122">
        <f>IF(N94&gt;0, (C92-N94),0)</f>
        <v>0</v>
      </c>
      <c r="O99" s="122">
        <f>IF(O94&gt;0, (D92-O94),0)</f>
        <v>0</v>
      </c>
      <c r="P99" s="122">
        <f>IF(P94&gt;0, (D92-P94),0)</f>
        <v>0</v>
      </c>
      <c r="Q99" s="337"/>
      <c r="R99" s="122">
        <f>IF(R94&gt;0, (C92-R94),0)</f>
        <v>0</v>
      </c>
      <c r="S99" s="122">
        <f>IF(S94&gt;0, (C92-S94),0)</f>
        <v>0</v>
      </c>
      <c r="T99" s="122">
        <f>IF(T94&gt;0, (C92-T94),0)</f>
        <v>0</v>
      </c>
      <c r="U99" s="122">
        <f>IF(U94&gt;0, (C92-U94),0)</f>
        <v>0</v>
      </c>
      <c r="V99" s="122">
        <f>IF(V94&gt;0, (D92-V94),0)</f>
        <v>0</v>
      </c>
      <c r="W99" s="122">
        <f>IF(W94&gt;0, (D92-W94),0)</f>
        <v>0</v>
      </c>
      <c r="X99" s="337"/>
      <c r="Y99" s="122">
        <f>IF(Y94&gt;0, (D93-Y94),0)</f>
        <v>0</v>
      </c>
      <c r="Z99" s="122">
        <f>IF(Z94&gt;0, (D93-Z94),0)</f>
        <v>0</v>
      </c>
      <c r="AA99" s="122">
        <f>IF(AA94&gt;0, (C93-AA94),0)</f>
        <v>0</v>
      </c>
      <c r="AB99" s="122">
        <f>IF(AB94&gt;0, (D93-AB94),0)</f>
        <v>0</v>
      </c>
      <c r="AC99" s="122">
        <f>IF(AC94&gt;0, (D93-AC94),0)</f>
        <v>0</v>
      </c>
      <c r="AD99" s="122">
        <f>IF(AD94&gt;0, (D93-AD94),0)</f>
        <v>0</v>
      </c>
      <c r="AE99" s="338"/>
      <c r="AH99" s="4"/>
      <c r="AI99" s="4"/>
      <c r="AJ99" s="4"/>
      <c r="AK99" s="4"/>
      <c r="AL99" s="4"/>
      <c r="AM99" s="4"/>
      <c r="AN99" s="4"/>
      <c r="AO99" s="4"/>
      <c r="AP99" s="4"/>
      <c r="AQ99" s="4"/>
    </row>
    <row r="100" spans="2:43" ht="13.15" customHeight="1" thickBot="1" x14ac:dyDescent="0.25">
      <c r="E100" s="321" t="s">
        <v>108</v>
      </c>
      <c r="F100" s="322"/>
      <c r="G100" s="321" t="s">
        <v>108</v>
      </c>
      <c r="H100" s="322"/>
      <c r="I100" s="327"/>
      <c r="J100" s="123">
        <f>(J99*5)/60</f>
        <v>0</v>
      </c>
      <c r="K100" s="123">
        <f>(K99*5)/60</f>
        <v>0</v>
      </c>
      <c r="L100" s="123">
        <f>(L99*5)/60</f>
        <v>0</v>
      </c>
      <c r="M100" s="123">
        <f>(M99*5)/60</f>
        <v>0</v>
      </c>
      <c r="N100" s="123">
        <f>(N99*5)/60</f>
        <v>0</v>
      </c>
      <c r="O100" s="123">
        <f>(O99*10)/60</f>
        <v>0</v>
      </c>
      <c r="P100" s="124">
        <f>(P99*5)/60</f>
        <v>0</v>
      </c>
      <c r="Q100" s="337"/>
      <c r="R100" s="125">
        <f>(R99*5)/60</f>
        <v>0</v>
      </c>
      <c r="S100" s="123">
        <f>(S99*5)/60</f>
        <v>0</v>
      </c>
      <c r="T100" s="123">
        <f>(T99*5)/60</f>
        <v>0</v>
      </c>
      <c r="U100" s="123">
        <f>(U99*5)/60</f>
        <v>0</v>
      </c>
      <c r="V100" s="123">
        <f>(V99*10)/60</f>
        <v>0</v>
      </c>
      <c r="W100" s="124">
        <f>(W99*5)/60</f>
        <v>0</v>
      </c>
      <c r="X100" s="337"/>
      <c r="Y100" s="125">
        <f t="shared" ref="Y100:AD100" si="8">(Y99*5)/60</f>
        <v>0</v>
      </c>
      <c r="Z100" s="123">
        <f t="shared" si="8"/>
        <v>0</v>
      </c>
      <c r="AA100" s="123">
        <f t="shared" si="8"/>
        <v>0</v>
      </c>
      <c r="AB100" s="123">
        <f t="shared" si="8"/>
        <v>0</v>
      </c>
      <c r="AC100" s="123">
        <f t="shared" si="8"/>
        <v>0</v>
      </c>
      <c r="AD100" s="124">
        <f t="shared" si="8"/>
        <v>0</v>
      </c>
      <c r="AE100" s="338"/>
    </row>
    <row r="101" spans="2:43" ht="12.75" customHeight="1" x14ac:dyDescent="0.25">
      <c r="E101" s="324" t="s">
        <v>107</v>
      </c>
      <c r="F101" s="325"/>
      <c r="G101" s="324" t="s">
        <v>107</v>
      </c>
      <c r="H101" s="325"/>
      <c r="I101" s="326" t="str">
        <f>E14</f>
        <v>Base</v>
      </c>
      <c r="J101" s="122">
        <f>IF(J95&gt;0, (D92-J95),0)</f>
        <v>0</v>
      </c>
      <c r="K101" s="122">
        <f>IF(K95&gt;0, (C92-K95),0)</f>
        <v>0</v>
      </c>
      <c r="L101" s="122">
        <f>IF(L95&gt;0, (D92-L95),0)</f>
        <v>0</v>
      </c>
      <c r="M101" s="122">
        <f>IF(M95&gt;0, (C92-M95),0)</f>
        <v>0</v>
      </c>
      <c r="N101" s="122">
        <f>IF(N95&gt;0, (D92-N95),0)</f>
        <v>0</v>
      </c>
      <c r="O101" s="122">
        <f>IF(O95&gt;0, (D92-O95),0)</f>
        <v>0</v>
      </c>
      <c r="P101" s="122">
        <f>IF(P95&gt;0, (D92-P95),0)</f>
        <v>0</v>
      </c>
      <c r="Q101" s="337"/>
      <c r="R101" s="122">
        <f>IF(R95&gt;0, (D92-R95),0)</f>
        <v>0</v>
      </c>
      <c r="S101" s="122">
        <f>IF(S95&gt;0, (D92-S95),0)</f>
        <v>0</v>
      </c>
      <c r="T101" s="122">
        <f>IF(T95&gt;0, (C92-T95),0)</f>
        <v>0</v>
      </c>
      <c r="U101" s="122">
        <f>IF(U95&gt;0, (D92-U95),0)</f>
        <v>0</v>
      </c>
      <c r="V101" s="122">
        <f>IF(V95&gt;0, (D92-V95),0)</f>
        <v>0</v>
      </c>
      <c r="W101" s="122">
        <f>IF(W95&gt;0, (D92-W95),0)</f>
        <v>0</v>
      </c>
      <c r="X101" s="337"/>
      <c r="Y101" s="122">
        <f>IF(Y95&gt;0, (D93-Y95),0)</f>
        <v>0</v>
      </c>
      <c r="Z101" s="122">
        <f>IF(Z95&gt;0, (C93-Z95),0)</f>
        <v>0</v>
      </c>
      <c r="AA101" s="122">
        <f>IF(AA95&gt;0, (C93-AA95),0)</f>
        <v>0</v>
      </c>
      <c r="AB101" s="122">
        <f>IF(AB95&gt;0, (C93-AB95),0)</f>
        <v>0</v>
      </c>
      <c r="AC101" s="122">
        <f>IF(AC95&gt;0, (C93-AC95),0)</f>
        <v>0</v>
      </c>
      <c r="AD101" s="122">
        <f>IF(AD95&gt;0, (D93-AD95),0)</f>
        <v>0</v>
      </c>
      <c r="AE101" s="338"/>
    </row>
    <row r="102" spans="2:43" ht="13.15" customHeight="1" thickBot="1" x14ac:dyDescent="0.25">
      <c r="E102" s="321" t="s">
        <v>108</v>
      </c>
      <c r="F102" s="322"/>
      <c r="G102" s="321" t="s">
        <v>108</v>
      </c>
      <c r="H102" s="322"/>
      <c r="I102" s="327"/>
      <c r="J102" s="123">
        <f>(J101*5)/60</f>
        <v>0</v>
      </c>
      <c r="K102" s="123">
        <f>(K101*5)/60</f>
        <v>0</v>
      </c>
      <c r="L102" s="123">
        <f>(L101*5)/60</f>
        <v>0</v>
      </c>
      <c r="M102" s="123">
        <f>(M101*5)/60</f>
        <v>0</v>
      </c>
      <c r="N102" s="123">
        <f>(N101*5)/60</f>
        <v>0</v>
      </c>
      <c r="O102" s="123">
        <f>(O101*10)/60</f>
        <v>0</v>
      </c>
      <c r="P102" s="124">
        <f>(P101*5)/60</f>
        <v>0</v>
      </c>
      <c r="Q102" s="337"/>
      <c r="R102" s="125">
        <f>(R101*5)/60</f>
        <v>0</v>
      </c>
      <c r="S102" s="123">
        <f>(S101*5)/60</f>
        <v>0</v>
      </c>
      <c r="T102" s="123">
        <f>(T101*5)/60</f>
        <v>0</v>
      </c>
      <c r="U102" s="123">
        <f>(U101*5)/60</f>
        <v>0</v>
      </c>
      <c r="V102" s="123">
        <f>(V101*10)/60</f>
        <v>0</v>
      </c>
      <c r="W102" s="124">
        <f>(W101*5)/60</f>
        <v>0</v>
      </c>
      <c r="X102" s="337"/>
      <c r="Y102" s="125">
        <f t="shared" ref="Y102:AD102" si="9">(Y101*5)/60</f>
        <v>0</v>
      </c>
      <c r="Z102" s="123">
        <f t="shared" si="9"/>
        <v>0</v>
      </c>
      <c r="AA102" s="123">
        <f t="shared" si="9"/>
        <v>0</v>
      </c>
      <c r="AB102" s="123">
        <f t="shared" si="9"/>
        <v>0</v>
      </c>
      <c r="AC102" s="123">
        <f t="shared" si="9"/>
        <v>0</v>
      </c>
      <c r="AD102" s="124">
        <f t="shared" si="9"/>
        <v>0</v>
      </c>
      <c r="AE102" s="338"/>
    </row>
    <row r="103" spans="2:43" ht="12" thickBot="1" x14ac:dyDescent="0.3">
      <c r="E103" s="127"/>
      <c r="F103" s="128"/>
      <c r="G103" s="127"/>
      <c r="H103" s="128"/>
    </row>
    <row r="104" spans="2:43" ht="13.15" customHeight="1" thickBot="1" x14ac:dyDescent="0.25">
      <c r="B104" s="208" t="s">
        <v>109</v>
      </c>
      <c r="C104" s="208"/>
      <c r="D104" s="126">
        <v>10</v>
      </c>
      <c r="E104" s="321" t="s">
        <v>111</v>
      </c>
      <c r="F104" s="322"/>
      <c r="G104" s="321" t="s">
        <v>111</v>
      </c>
      <c r="H104" s="322"/>
      <c r="I104" s="323" t="str">
        <f>F14</f>
        <v>Upper</v>
      </c>
      <c r="J104" s="129">
        <f>IF(J99&gt;D106,D106,J99)</f>
        <v>0</v>
      </c>
      <c r="K104" s="129">
        <f>IF(K99&gt;D106,D106,K99)</f>
        <v>0</v>
      </c>
      <c r="L104" s="129">
        <f>IF(L99&gt;D106,D106,L99)</f>
        <v>0</v>
      </c>
      <c r="M104" s="129">
        <f>IF(M99&gt;C106,C106,M99)</f>
        <v>0</v>
      </c>
      <c r="N104" s="129">
        <f>IF(N99&gt;D106,D106,N99)</f>
        <v>0</v>
      </c>
      <c r="O104" s="129">
        <f>IF(O99&gt;D106,D106,O99)</f>
        <v>0</v>
      </c>
      <c r="P104" s="129">
        <f>IF(P99&gt;D106,D106,P99)</f>
        <v>0</v>
      </c>
      <c r="Q104" s="312"/>
      <c r="R104" s="130">
        <f>IF(R99&gt;D105,D105,R99)</f>
        <v>0</v>
      </c>
      <c r="S104" s="130">
        <f>IF(S99&gt;D105,D105,S99)</f>
        <v>0</v>
      </c>
      <c r="T104" s="130">
        <f>IF(T99&gt;C105,C105,T99)</f>
        <v>0</v>
      </c>
      <c r="U104" s="130">
        <f>IF(U99&gt;D105,D105,U99)</f>
        <v>0</v>
      </c>
      <c r="V104" s="130">
        <f>IF(V99&gt;D105,D105,V99)</f>
        <v>0</v>
      </c>
      <c r="W104" s="130">
        <f>IF(W99&gt;D105,D105,W99)</f>
        <v>0</v>
      </c>
      <c r="X104" s="315"/>
      <c r="Y104" s="130">
        <f>IF(Y99&gt;D104,D104,Y99)</f>
        <v>0</v>
      </c>
      <c r="Z104" s="131">
        <f>IF(Z99&gt;D104,D104,Z99)</f>
        <v>0</v>
      </c>
      <c r="AA104" s="131">
        <f>IF(AA99&gt;C104,C104,AA99)</f>
        <v>0</v>
      </c>
      <c r="AB104" s="131">
        <f>IF(AB99&gt;D104,D104,AB99)</f>
        <v>0</v>
      </c>
      <c r="AC104" s="131">
        <f>IF(AC99&gt;D104,D104,AC99)</f>
        <v>0</v>
      </c>
      <c r="AD104" s="132">
        <f>IF(AD99&gt;D104,D104,AD99)</f>
        <v>0</v>
      </c>
      <c r="AE104" s="318"/>
    </row>
    <row r="105" spans="2:43" ht="13.9" customHeight="1" thickBot="1" x14ac:dyDescent="0.25">
      <c r="B105" s="208" t="s">
        <v>110</v>
      </c>
      <c r="C105" s="208"/>
      <c r="D105" s="126">
        <v>5</v>
      </c>
      <c r="E105" s="319" t="s">
        <v>113</v>
      </c>
      <c r="F105" s="320"/>
      <c r="G105" s="319" t="s">
        <v>113</v>
      </c>
      <c r="H105" s="320"/>
      <c r="I105" s="323"/>
      <c r="J105" s="129">
        <f>(J104*5)/60</f>
        <v>0</v>
      </c>
      <c r="K105" s="129">
        <f>I105+(K104*5)/60</f>
        <v>0</v>
      </c>
      <c r="L105" s="129">
        <f>J105+(L104*5)/60</f>
        <v>0</v>
      </c>
      <c r="M105" s="129">
        <f>K105+((M104*5)/60)</f>
        <v>0</v>
      </c>
      <c r="N105" s="129">
        <f>L105+((N104*5)/60)</f>
        <v>0</v>
      </c>
      <c r="O105" s="129">
        <f>N105+((O104*10)/60)</f>
        <v>0</v>
      </c>
      <c r="P105" s="129">
        <f>O105+((P104*5)/60)</f>
        <v>0</v>
      </c>
      <c r="Q105" s="313"/>
      <c r="R105" s="133">
        <f>(R104*5)/60</f>
        <v>0</v>
      </c>
      <c r="S105" s="134">
        <f>R105+(S104*5)/60</f>
        <v>0</v>
      </c>
      <c r="T105" s="134">
        <f>R105+((T104*5)/60)</f>
        <v>0</v>
      </c>
      <c r="U105" s="134">
        <f>S105+((U104*5)/60)</f>
        <v>0</v>
      </c>
      <c r="V105" s="134">
        <f>U105+((V104*10)/60)</f>
        <v>0</v>
      </c>
      <c r="W105" s="135">
        <f>V105+((W104*5)/60)</f>
        <v>0</v>
      </c>
      <c r="X105" s="316"/>
      <c r="Y105" s="133">
        <f>(Y104*5)/60</f>
        <v>0</v>
      </c>
      <c r="Z105" s="134">
        <f>X105+(Z104*5)/60</f>
        <v>0</v>
      </c>
      <c r="AA105" s="134">
        <f>W105+(AA104*5)/60</f>
        <v>0</v>
      </c>
      <c r="AB105" s="134">
        <f>X105+(AB104*5)/60</f>
        <v>0</v>
      </c>
      <c r="AC105" s="134">
        <f>X105+(AC104*5)/60</f>
        <v>0</v>
      </c>
      <c r="AD105" s="135" t="e">
        <f>#REF!+((AD104*5)/60)</f>
        <v>#REF!</v>
      </c>
      <c r="AE105" s="318"/>
    </row>
    <row r="106" spans="2:43" ht="13.15" customHeight="1" thickBot="1" x14ac:dyDescent="0.25">
      <c r="B106" s="208" t="s">
        <v>112</v>
      </c>
      <c r="C106" s="208"/>
      <c r="D106" s="126">
        <v>4</v>
      </c>
      <c r="E106" s="321" t="s">
        <v>114</v>
      </c>
      <c r="F106" s="322"/>
      <c r="G106" s="321" t="s">
        <v>114</v>
      </c>
      <c r="H106" s="322"/>
      <c r="I106" s="323" t="str">
        <f>E14</f>
        <v>Base</v>
      </c>
      <c r="J106" s="129">
        <f>IF(J101&gt;D106,D106,J101)</f>
        <v>0</v>
      </c>
      <c r="K106" s="129">
        <f>IF(K101&gt;D106,D106,K101)</f>
        <v>0</v>
      </c>
      <c r="L106" s="129">
        <f>IF(L101&gt;D106,D106,L101)</f>
        <v>0</v>
      </c>
      <c r="M106" s="129">
        <f>IF(M101&gt;C106,C106,M101)</f>
        <v>0</v>
      </c>
      <c r="N106" s="129">
        <f>IF(N101&gt;D106,D106,N101)</f>
        <v>0</v>
      </c>
      <c r="O106" s="129">
        <f>IF(O101&gt;D106,D106,O101)</f>
        <v>0</v>
      </c>
      <c r="P106" s="129">
        <f>IF(P101&gt;D106,D106,P101)</f>
        <v>0</v>
      </c>
      <c r="Q106" s="313"/>
      <c r="R106" s="130">
        <f>IF(R101&gt;D105,D105,R101)</f>
        <v>0</v>
      </c>
      <c r="S106" s="131">
        <f>IF(S101&gt;D105,D105,S101)</f>
        <v>0</v>
      </c>
      <c r="T106" s="131">
        <f>IF(T101&gt;C105,C105,T101)</f>
        <v>0</v>
      </c>
      <c r="U106" s="131">
        <f>IF(U101&gt;D105,D105,U101)</f>
        <v>0</v>
      </c>
      <c r="V106" s="131">
        <f>IF(V101&gt;D105,D105,V101)</f>
        <v>0</v>
      </c>
      <c r="W106" s="132">
        <f>IF(W101&gt;D105,D105,W101)</f>
        <v>0</v>
      </c>
      <c r="X106" s="316"/>
      <c r="Y106" s="130">
        <f>IF(Y101&gt;D104,D104,Y101)</f>
        <v>0</v>
      </c>
      <c r="Z106" s="131">
        <f>IF(Z101&gt;D104,D104,Z101)</f>
        <v>0</v>
      </c>
      <c r="AA106" s="131">
        <f>IF(AA101&gt;C104,C104,AA101)</f>
        <v>0</v>
      </c>
      <c r="AB106" s="131">
        <f>IF(AB101&gt;D104,D104,AB101)</f>
        <v>0</v>
      </c>
      <c r="AC106" s="131">
        <f>IF(AC101&gt;D104,D104,AC101)</f>
        <v>0</v>
      </c>
      <c r="AD106" s="132">
        <f>IF(AD101&gt;D104,D104,AD101)</f>
        <v>0</v>
      </c>
      <c r="AE106" s="318"/>
    </row>
    <row r="107" spans="2:43" ht="13.9" customHeight="1" thickBot="1" x14ac:dyDescent="0.25">
      <c r="E107" s="319" t="s">
        <v>113</v>
      </c>
      <c r="F107" s="320"/>
      <c r="G107" s="319" t="s">
        <v>113</v>
      </c>
      <c r="H107" s="320"/>
      <c r="I107" s="323"/>
      <c r="J107" s="129">
        <f>(J106*5)/60</f>
        <v>0</v>
      </c>
      <c r="K107" s="129">
        <f>I107+(K106*5)/60</f>
        <v>0</v>
      </c>
      <c r="L107" s="129">
        <f>J107+(L106*5)/60</f>
        <v>0</v>
      </c>
      <c r="M107" s="129">
        <f>K107+((M106*5)/60)</f>
        <v>0</v>
      </c>
      <c r="N107" s="129">
        <f>L107+((N106*5)/60)</f>
        <v>0</v>
      </c>
      <c r="O107" s="129">
        <f>N107+((O106*10)/60)</f>
        <v>0</v>
      </c>
      <c r="P107" s="129">
        <f>O107+((P106*5)/60)</f>
        <v>0</v>
      </c>
      <c r="Q107" s="314"/>
      <c r="R107" s="133">
        <f>(R106*5)/60</f>
        <v>0</v>
      </c>
      <c r="S107" s="134">
        <f>R107+(S106*5)/60</f>
        <v>0</v>
      </c>
      <c r="T107" s="134">
        <f>R107+((T106*5)/60)</f>
        <v>0</v>
      </c>
      <c r="U107" s="134">
        <f>S107+((U106*5)/60)</f>
        <v>0</v>
      </c>
      <c r="V107" s="134">
        <f>U107+((V106*10)/60)</f>
        <v>0</v>
      </c>
      <c r="W107" s="135">
        <f>V107+((W106*5)/60)</f>
        <v>0</v>
      </c>
      <c r="X107" s="317"/>
      <c r="Y107" s="133">
        <f>(Y106*5)/60</f>
        <v>0</v>
      </c>
      <c r="Z107" s="134">
        <f>X107+(Z106*5)/60</f>
        <v>0</v>
      </c>
      <c r="AA107" s="134">
        <f>W107+(AA106*5)/60</f>
        <v>0</v>
      </c>
      <c r="AB107" s="134">
        <f>X107+(AB106*5)/60</f>
        <v>0</v>
      </c>
      <c r="AC107" s="134">
        <f>X107+(AC106*5)/60</f>
        <v>0</v>
      </c>
      <c r="AD107" s="135" t="e">
        <f>#REF!+((AD106*5)/60)</f>
        <v>#REF!</v>
      </c>
      <c r="AE107" s="318"/>
    </row>
    <row r="108" spans="2:43" ht="14.5" customHeight="1" x14ac:dyDescent="0.3">
      <c r="B108" s="136"/>
      <c r="E108" s="73" t="s">
        <v>151</v>
      </c>
      <c r="F108" s="73" t="s">
        <v>151</v>
      </c>
      <c r="G108" s="73" t="s">
        <v>151</v>
      </c>
      <c r="H108" s="73" t="s">
        <v>151</v>
      </c>
      <c r="J108" s="306"/>
      <c r="K108" s="307"/>
      <c r="L108" s="307"/>
      <c r="M108" s="307"/>
      <c r="N108" s="307"/>
      <c r="O108" s="307"/>
      <c r="P108" s="307"/>
      <c r="Q108" s="307"/>
      <c r="R108" s="308"/>
      <c r="S108" s="308"/>
      <c r="T108" s="308"/>
      <c r="U108" s="308"/>
      <c r="V108" s="308"/>
      <c r="W108" s="308"/>
      <c r="X108" s="307"/>
      <c r="Y108" s="308"/>
      <c r="Z108" s="308"/>
      <c r="AA108" s="308"/>
      <c r="AB108" s="308"/>
      <c r="AC108" s="308"/>
      <c r="AD108" s="308"/>
      <c r="AE108" s="137"/>
    </row>
    <row r="109" spans="2:43" ht="12" thickBot="1" x14ac:dyDescent="0.3">
      <c r="E109" s="81" t="s">
        <v>151</v>
      </c>
      <c r="F109" s="73" t="s">
        <v>151</v>
      </c>
      <c r="G109" s="73" t="s">
        <v>151</v>
      </c>
      <c r="H109" s="73" t="s">
        <v>151</v>
      </c>
    </row>
    <row r="110" spans="2:43" ht="17.5" customHeight="1" thickBot="1" x14ac:dyDescent="0.3">
      <c r="E110" s="83" t="s">
        <v>151</v>
      </c>
      <c r="F110" s="73" t="s">
        <v>151</v>
      </c>
      <c r="G110" s="73" t="s">
        <v>151</v>
      </c>
      <c r="H110" s="73" t="s">
        <v>151</v>
      </c>
      <c r="J110" s="363" t="s">
        <v>21</v>
      </c>
      <c r="K110" s="363"/>
      <c r="L110" s="364"/>
      <c r="M110" s="364"/>
      <c r="N110" s="364"/>
      <c r="O110" s="364"/>
      <c r="P110" s="364"/>
      <c r="R110" s="365" t="s">
        <v>23</v>
      </c>
      <c r="S110" s="365"/>
      <c r="T110" s="365"/>
      <c r="U110" s="365"/>
      <c r="V110" s="365"/>
      <c r="W110" s="365"/>
      <c r="Y110" s="344" t="s">
        <v>24</v>
      </c>
      <c r="Z110" s="344"/>
      <c r="AA110" s="344"/>
      <c r="AB110" s="344"/>
      <c r="AC110" s="344"/>
      <c r="AD110" s="344"/>
    </row>
    <row r="111" spans="2:43" ht="26.5" customHeight="1" thickBot="1" x14ac:dyDescent="0.3">
      <c r="E111" s="83" t="s">
        <v>151</v>
      </c>
      <c r="F111" s="73" t="s">
        <v>151</v>
      </c>
      <c r="G111" s="73" t="s">
        <v>151</v>
      </c>
      <c r="H111" s="73" t="s">
        <v>151</v>
      </c>
      <c r="I111" s="138" t="s">
        <v>121</v>
      </c>
      <c r="J111" s="264" t="s">
        <v>138</v>
      </c>
      <c r="K111" s="265" t="s">
        <v>139</v>
      </c>
      <c r="L111" s="265" t="s">
        <v>140</v>
      </c>
      <c r="M111" s="265" t="s">
        <v>141</v>
      </c>
      <c r="N111" s="265" t="s">
        <v>142</v>
      </c>
      <c r="O111" s="265" t="s">
        <v>143</v>
      </c>
      <c r="P111" s="265" t="s">
        <v>31</v>
      </c>
      <c r="Q111" s="268"/>
      <c r="R111" s="266" t="s">
        <v>27</v>
      </c>
      <c r="S111" s="266" t="s">
        <v>144</v>
      </c>
      <c r="T111" s="263" t="s">
        <v>141</v>
      </c>
      <c r="U111" s="263" t="s">
        <v>145</v>
      </c>
      <c r="V111" s="263" t="s">
        <v>30</v>
      </c>
      <c r="W111" s="263" t="s">
        <v>31</v>
      </c>
      <c r="X111" s="268"/>
      <c r="Y111" s="266" t="s">
        <v>27</v>
      </c>
      <c r="Z111" s="266" t="s">
        <v>144</v>
      </c>
      <c r="AA111" s="263" t="s">
        <v>141</v>
      </c>
      <c r="AB111" s="263" t="s">
        <v>145</v>
      </c>
      <c r="AC111" s="263" t="s">
        <v>30</v>
      </c>
      <c r="AD111" s="263" t="s">
        <v>31</v>
      </c>
      <c r="AE111" s="93"/>
      <c r="AG111" s="95"/>
    </row>
    <row r="112" spans="2:43" ht="16.899999999999999" customHeight="1" thickBot="1" x14ac:dyDescent="0.3">
      <c r="E112" s="83" t="s">
        <v>151</v>
      </c>
      <c r="F112" s="73" t="s">
        <v>151</v>
      </c>
      <c r="G112" s="73" t="s">
        <v>151</v>
      </c>
      <c r="H112" s="73" t="s">
        <v>151</v>
      </c>
      <c r="I112" s="140"/>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2"/>
      <c r="AG112" s="102"/>
    </row>
    <row r="113" spans="2:43" ht="23.25" customHeight="1" thickBot="1" x14ac:dyDescent="0.25">
      <c r="E113" s="73" t="s">
        <v>151</v>
      </c>
      <c r="F113" s="73" t="s">
        <v>151</v>
      </c>
      <c r="G113" s="73" t="s">
        <v>151</v>
      </c>
      <c r="H113" s="387" t="s">
        <v>152</v>
      </c>
      <c r="I113" s="143" t="str">
        <f>F14</f>
        <v>Upper</v>
      </c>
      <c r="J113" s="144">
        <f>$C$88*J94</f>
        <v>0</v>
      </c>
      <c r="K113" s="144">
        <f t="shared" ref="K113:P116" si="10">$C$88*K94</f>
        <v>0</v>
      </c>
      <c r="L113" s="144">
        <f t="shared" si="10"/>
        <v>0</v>
      </c>
      <c r="M113" s="144">
        <f t="shared" ref="M113" si="11">$C$88*M94</f>
        <v>0</v>
      </c>
      <c r="N113" s="144">
        <f t="shared" si="10"/>
        <v>0</v>
      </c>
      <c r="O113" s="144">
        <f t="shared" si="10"/>
        <v>0</v>
      </c>
      <c r="P113" s="144">
        <f t="shared" si="10"/>
        <v>0</v>
      </c>
      <c r="Q113" s="145"/>
      <c r="R113" s="144">
        <f>$C$88*R94</f>
        <v>0</v>
      </c>
      <c r="S113" s="144">
        <f t="shared" ref="S113:W116" si="12">$C$88*S94</f>
        <v>0</v>
      </c>
      <c r="T113" s="144">
        <f t="shared" ref="T113" si="13">$C$88*T94</f>
        <v>0</v>
      </c>
      <c r="U113" s="144">
        <f t="shared" si="12"/>
        <v>0</v>
      </c>
      <c r="V113" s="144">
        <f t="shared" si="12"/>
        <v>0</v>
      </c>
      <c r="W113" s="144">
        <f t="shared" si="12"/>
        <v>0</v>
      </c>
      <c r="X113" s="145"/>
      <c r="Y113" s="144">
        <f>$C$88*Y94</f>
        <v>0</v>
      </c>
      <c r="Z113" s="144">
        <f t="shared" ref="Z113:AD116" si="14">$C$88*Z94</f>
        <v>0</v>
      </c>
      <c r="AA113" s="144">
        <f t="shared" ref="AA113" si="15">$C$88*AA94</f>
        <v>0</v>
      </c>
      <c r="AB113" s="144">
        <f t="shared" si="14"/>
        <v>0</v>
      </c>
      <c r="AC113" s="144">
        <f t="shared" si="14"/>
        <v>0</v>
      </c>
      <c r="AD113" s="144">
        <f t="shared" si="14"/>
        <v>0</v>
      </c>
      <c r="AE113" s="145"/>
      <c r="AG113" s="108"/>
    </row>
    <row r="114" spans="2:43" ht="24" customHeight="1" thickBot="1" x14ac:dyDescent="0.25">
      <c r="E114" s="81" t="s">
        <v>151</v>
      </c>
      <c r="F114" s="73" t="s">
        <v>151</v>
      </c>
      <c r="G114" s="73" t="s">
        <v>151</v>
      </c>
      <c r="H114" s="388"/>
      <c r="I114" s="112" t="str">
        <f>E14</f>
        <v>Base</v>
      </c>
      <c r="J114" s="113">
        <f>$C$88*J95</f>
        <v>0</v>
      </c>
      <c r="K114" s="113">
        <f t="shared" si="10"/>
        <v>0</v>
      </c>
      <c r="L114" s="113">
        <f t="shared" si="10"/>
        <v>0</v>
      </c>
      <c r="M114" s="113">
        <f t="shared" ref="M114" si="16">$C$88*M95</f>
        <v>0</v>
      </c>
      <c r="N114" s="113">
        <f t="shared" si="10"/>
        <v>0</v>
      </c>
      <c r="O114" s="113">
        <f t="shared" si="10"/>
        <v>0</v>
      </c>
      <c r="P114" s="113">
        <f t="shared" si="10"/>
        <v>0</v>
      </c>
      <c r="Q114" s="114"/>
      <c r="R114" s="113">
        <f>$C$88*R95</f>
        <v>0</v>
      </c>
      <c r="S114" s="113">
        <f t="shared" si="12"/>
        <v>0</v>
      </c>
      <c r="T114" s="113">
        <f t="shared" ref="T114" si="17">$C$88*T95</f>
        <v>0</v>
      </c>
      <c r="U114" s="113">
        <f t="shared" si="12"/>
        <v>0</v>
      </c>
      <c r="V114" s="113">
        <f t="shared" si="12"/>
        <v>0</v>
      </c>
      <c r="W114" s="113">
        <f t="shared" si="12"/>
        <v>0</v>
      </c>
      <c r="X114" s="114"/>
      <c r="Y114" s="113">
        <f>$C$88*Y95</f>
        <v>0</v>
      </c>
      <c r="Z114" s="113">
        <f t="shared" si="14"/>
        <v>0</v>
      </c>
      <c r="AA114" s="113">
        <f t="shared" ref="AA114" si="18">$C$88*AA95</f>
        <v>0</v>
      </c>
      <c r="AB114" s="113">
        <f t="shared" si="14"/>
        <v>0</v>
      </c>
      <c r="AC114" s="113">
        <f t="shared" si="14"/>
        <v>0</v>
      </c>
      <c r="AD114" s="113">
        <f t="shared" si="14"/>
        <v>0</v>
      </c>
      <c r="AE114" s="114"/>
      <c r="AG114" s="108"/>
    </row>
    <row r="115" spans="2:43" ht="23.25" customHeight="1" thickBot="1" x14ac:dyDescent="0.3">
      <c r="C115" s="1">
        <f>422/60</f>
        <v>7.0333333333333332</v>
      </c>
      <c r="E115" s="83" t="s">
        <v>151</v>
      </c>
      <c r="F115" s="73" t="s">
        <v>151</v>
      </c>
      <c r="G115" s="73" t="s">
        <v>151</v>
      </c>
      <c r="H115" s="389" t="s">
        <v>155</v>
      </c>
      <c r="I115" s="146" t="str">
        <f>H14</f>
        <v>Upper</v>
      </c>
      <c r="J115" s="144">
        <f>$C$88*J96</f>
        <v>0</v>
      </c>
      <c r="K115" s="144">
        <f t="shared" si="10"/>
        <v>0</v>
      </c>
      <c r="L115" s="144">
        <f t="shared" si="10"/>
        <v>0</v>
      </c>
      <c r="M115" s="144">
        <f t="shared" ref="M115" si="19">$C$88*M96</f>
        <v>0</v>
      </c>
      <c r="N115" s="144">
        <f t="shared" si="10"/>
        <v>0</v>
      </c>
      <c r="O115" s="144">
        <f t="shared" si="10"/>
        <v>0</v>
      </c>
      <c r="P115" s="144">
        <f t="shared" si="10"/>
        <v>0</v>
      </c>
      <c r="Q115" s="145"/>
      <c r="R115" s="144">
        <f>$C$88*R96</f>
        <v>0</v>
      </c>
      <c r="S115" s="144">
        <f t="shared" si="12"/>
        <v>0</v>
      </c>
      <c r="T115" s="144">
        <f t="shared" ref="T115" si="20">$C$88*T96</f>
        <v>0</v>
      </c>
      <c r="U115" s="144">
        <f t="shared" si="12"/>
        <v>0</v>
      </c>
      <c r="V115" s="144">
        <f t="shared" si="12"/>
        <v>0</v>
      </c>
      <c r="W115" s="144">
        <f t="shared" si="12"/>
        <v>0</v>
      </c>
      <c r="X115" s="145"/>
      <c r="Y115" s="144">
        <f>$C$88*Y96</f>
        <v>0</v>
      </c>
      <c r="Z115" s="144">
        <f t="shared" si="14"/>
        <v>0</v>
      </c>
      <c r="AA115" s="144">
        <f t="shared" ref="AA115" si="21">$C$88*AA96</f>
        <v>0</v>
      </c>
      <c r="AB115" s="144">
        <f t="shared" si="14"/>
        <v>0</v>
      </c>
      <c r="AC115" s="144">
        <f t="shared" si="14"/>
        <v>0</v>
      </c>
      <c r="AD115" s="144">
        <f>$C$88*AD96</f>
        <v>0</v>
      </c>
      <c r="AE115" s="145"/>
      <c r="AG115" s="108"/>
    </row>
    <row r="116" spans="2:43" ht="24" customHeight="1" thickBot="1" x14ac:dyDescent="0.3">
      <c r="C116" s="1">
        <f>4-1.68</f>
        <v>2.3200000000000003</v>
      </c>
      <c r="E116" s="83" t="s">
        <v>151</v>
      </c>
      <c r="F116" s="73" t="s">
        <v>151</v>
      </c>
      <c r="G116" s="73" t="s">
        <v>151</v>
      </c>
      <c r="H116" s="390"/>
      <c r="I116" s="118" t="str">
        <f>G14</f>
        <v>Base</v>
      </c>
      <c r="J116" s="113">
        <f>$C$88*J97</f>
        <v>0</v>
      </c>
      <c r="K116" s="113">
        <f t="shared" si="10"/>
        <v>0</v>
      </c>
      <c r="L116" s="113">
        <f t="shared" si="10"/>
        <v>0</v>
      </c>
      <c r="M116" s="113">
        <f t="shared" ref="M116" si="22">$C$88*M97</f>
        <v>0</v>
      </c>
      <c r="N116" s="113">
        <f t="shared" si="10"/>
        <v>0</v>
      </c>
      <c r="O116" s="113">
        <f t="shared" si="10"/>
        <v>0</v>
      </c>
      <c r="P116" s="113">
        <f t="shared" si="10"/>
        <v>0</v>
      </c>
      <c r="Q116" s="114"/>
      <c r="R116" s="113">
        <f>$C$88*R97</f>
        <v>0</v>
      </c>
      <c r="S116" s="113">
        <f t="shared" si="12"/>
        <v>0</v>
      </c>
      <c r="T116" s="113">
        <f t="shared" ref="T116" si="23">$C$88*T97</f>
        <v>0</v>
      </c>
      <c r="U116" s="113">
        <f t="shared" si="12"/>
        <v>0</v>
      </c>
      <c r="V116" s="113">
        <f t="shared" si="12"/>
        <v>0</v>
      </c>
      <c r="W116" s="113">
        <f t="shared" si="12"/>
        <v>0</v>
      </c>
      <c r="X116" s="114"/>
      <c r="Y116" s="113">
        <f>$C$88*Y97</f>
        <v>0</v>
      </c>
      <c r="Z116" s="113">
        <f t="shared" si="14"/>
        <v>0</v>
      </c>
      <c r="AA116" s="113">
        <f t="shared" ref="AA116" si="24">$C$88*AA97</f>
        <v>0</v>
      </c>
      <c r="AB116" s="113">
        <f t="shared" si="14"/>
        <v>0</v>
      </c>
      <c r="AC116" s="113">
        <f t="shared" si="14"/>
        <v>0</v>
      </c>
      <c r="AD116" s="113">
        <f t="shared" si="14"/>
        <v>0</v>
      </c>
      <c r="AE116" s="114"/>
      <c r="AG116" s="108"/>
    </row>
    <row r="117" spans="2:43" x14ac:dyDescent="0.25">
      <c r="E117" s="73" t="s">
        <v>151</v>
      </c>
      <c r="F117" s="73" t="s">
        <v>151</v>
      </c>
      <c r="G117" s="73" t="s">
        <v>151</v>
      </c>
      <c r="H117" s="73" t="s">
        <v>151</v>
      </c>
    </row>
    <row r="118" spans="2:43" ht="12" thickBot="1" x14ac:dyDescent="0.3">
      <c r="E118" s="73" t="s">
        <v>151</v>
      </c>
      <c r="F118" s="73" t="s">
        <v>151</v>
      </c>
      <c r="G118" s="73" t="s">
        <v>151</v>
      </c>
      <c r="H118" s="73" t="s">
        <v>151</v>
      </c>
      <c r="J118" s="2">
        <f>J113*1.67/30</f>
        <v>0</v>
      </c>
      <c r="K118" s="2">
        <f>K113*2.32/30</f>
        <v>0</v>
      </c>
      <c r="L118" s="2">
        <f>L113*3/30</f>
        <v>0</v>
      </c>
      <c r="M118" s="2">
        <f>M113*1.16/30</f>
        <v>0</v>
      </c>
      <c r="N118" s="2">
        <f>N113*3.84/30</f>
        <v>0</v>
      </c>
      <c r="O118" s="2">
        <f>O113*11.5/30</f>
        <v>0</v>
      </c>
      <c r="P118" s="2">
        <f>P113*5/30</f>
        <v>0</v>
      </c>
      <c r="R118" s="2">
        <f>R113*5/30</f>
        <v>0</v>
      </c>
      <c r="S118" s="2">
        <f>S113*2/30</f>
        <v>0</v>
      </c>
      <c r="T118" s="2">
        <f>T113*1.16/30</f>
        <v>0</v>
      </c>
      <c r="U118" s="2">
        <f>U113*8/30</f>
        <v>0</v>
      </c>
      <c r="V118" s="2">
        <f>V113*10/30</f>
        <v>0</v>
      </c>
      <c r="W118" s="2">
        <f t="shared" ref="W118" si="25">W113*5/30</f>
        <v>0</v>
      </c>
      <c r="Y118" s="2">
        <f>Y113*5/30</f>
        <v>0</v>
      </c>
      <c r="Z118" s="2">
        <f>Z113*2/30</f>
        <v>0</v>
      </c>
      <c r="AA118" s="2">
        <f>AA113*1.16/30</f>
        <v>0</v>
      </c>
      <c r="AB118" s="2">
        <f>AB113*6.84/30</f>
        <v>0</v>
      </c>
      <c r="AC118" s="2">
        <f>AC113*10/30</f>
        <v>0</v>
      </c>
      <c r="AD118" s="2">
        <f t="shared" ref="AD118" si="26">AD113*5/30</f>
        <v>0</v>
      </c>
    </row>
    <row r="119" spans="2:43" ht="16" thickBot="1" x14ac:dyDescent="0.4">
      <c r="E119" s="73" t="s">
        <v>151</v>
      </c>
      <c r="F119" s="73" t="s">
        <v>151</v>
      </c>
      <c r="G119" s="73" t="s">
        <v>151</v>
      </c>
      <c r="H119" s="73" t="s">
        <v>151</v>
      </c>
      <c r="J119" s="147">
        <f>J118+K118+L118+N118+O118+P118</f>
        <v>0</v>
      </c>
      <c r="R119" s="147">
        <f>R118+S118+U118+V118+W118</f>
        <v>0</v>
      </c>
      <c r="Y119" s="147">
        <f>Y118+Z118+AB118+AC118+AD118</f>
        <v>0</v>
      </c>
    </row>
    <row r="120" spans="2:43" x14ac:dyDescent="0.25">
      <c r="E120" s="73" t="s">
        <v>151</v>
      </c>
      <c r="F120" s="73" t="s">
        <v>151</v>
      </c>
      <c r="G120" s="73" t="s">
        <v>151</v>
      </c>
      <c r="H120" s="73" t="s">
        <v>151</v>
      </c>
      <c r="I120" s="2"/>
    </row>
    <row r="121" spans="2:43" ht="12" thickBot="1" x14ac:dyDescent="0.3">
      <c r="E121" s="73" t="s">
        <v>151</v>
      </c>
      <c r="F121" s="73" t="s">
        <v>151</v>
      </c>
      <c r="G121" s="73" t="s">
        <v>151</v>
      </c>
      <c r="H121" s="73" t="s">
        <v>151</v>
      </c>
      <c r="I121" s="2"/>
      <c r="J121" s="2">
        <f>J114*1.67/30</f>
        <v>0</v>
      </c>
      <c r="K121" s="2">
        <f>K114*2.32/30</f>
        <v>0</v>
      </c>
      <c r="L121" s="2">
        <f>L114*3/30</f>
        <v>0</v>
      </c>
      <c r="M121" s="2">
        <f>M114*1.16/30</f>
        <v>0</v>
      </c>
      <c r="N121" s="2">
        <f>N114*3.84/30</f>
        <v>0</v>
      </c>
      <c r="O121" s="2">
        <f>O114*12.75/30</f>
        <v>0</v>
      </c>
      <c r="P121" s="2">
        <f>P114*5/30</f>
        <v>0</v>
      </c>
      <c r="R121" s="2">
        <f>R114*5/30</f>
        <v>0</v>
      </c>
      <c r="S121" s="2">
        <f>S114*2/30</f>
        <v>0</v>
      </c>
      <c r="T121" s="2">
        <f>T114*1.16/30</f>
        <v>0</v>
      </c>
      <c r="U121" s="2">
        <f>U114*6.84/30</f>
        <v>0</v>
      </c>
      <c r="V121" s="2">
        <f>V114*10/30</f>
        <v>0</v>
      </c>
      <c r="W121" s="2">
        <f>W114*5/30</f>
        <v>0</v>
      </c>
      <c r="Y121" s="2">
        <f>Y114*5/30</f>
        <v>0</v>
      </c>
      <c r="Z121" s="2">
        <f>Z114*2/30</f>
        <v>0</v>
      </c>
      <c r="AA121" s="2">
        <f>AA114*1.16/30</f>
        <v>0</v>
      </c>
      <c r="AB121" s="2">
        <f>AB114*6.84/30</f>
        <v>0</v>
      </c>
      <c r="AC121" s="2">
        <f>AC114*10/30</f>
        <v>0</v>
      </c>
      <c r="AD121" s="2">
        <f>AD114*5/30</f>
        <v>0</v>
      </c>
    </row>
    <row r="122" spans="2:43" s="2" customFormat="1" ht="16" thickBot="1" x14ac:dyDescent="0.4">
      <c r="B122" s="1"/>
      <c r="C122" s="1"/>
      <c r="D122" s="1"/>
      <c r="E122" s="73" t="s">
        <v>151</v>
      </c>
      <c r="F122" s="73" t="s">
        <v>151</v>
      </c>
      <c r="G122" s="73" t="s">
        <v>151</v>
      </c>
      <c r="H122" s="73" t="s">
        <v>151</v>
      </c>
      <c r="J122" s="147">
        <f>J121+K121+L121+N121+O121+P121</f>
        <v>0</v>
      </c>
      <c r="R122" s="147">
        <f>R121+S121+U121+V121+W121</f>
        <v>0</v>
      </c>
      <c r="Y122" s="147">
        <f>Y121+Z121+AB121+AC121+AD121</f>
        <v>0</v>
      </c>
      <c r="AF122" s="1"/>
      <c r="AG122" s="4"/>
      <c r="AH122" s="1"/>
      <c r="AI122" s="1"/>
      <c r="AJ122" s="1"/>
      <c r="AK122" s="1"/>
      <c r="AL122" s="1"/>
      <c r="AM122" s="1"/>
      <c r="AN122" s="1"/>
      <c r="AO122" s="1"/>
      <c r="AP122" s="1"/>
      <c r="AQ122" s="1"/>
    </row>
    <row r="123" spans="2:43" x14ac:dyDescent="0.25">
      <c r="E123" s="73" t="s">
        <v>151</v>
      </c>
      <c r="F123" s="73" t="s">
        <v>151</v>
      </c>
      <c r="G123" s="73" t="s">
        <v>151</v>
      </c>
      <c r="H123" s="73" t="s">
        <v>151</v>
      </c>
    </row>
    <row r="124" spans="2:43" ht="12" thickBot="1" x14ac:dyDescent="0.3">
      <c r="E124" s="73" t="s">
        <v>151</v>
      </c>
      <c r="F124" s="73" t="s">
        <v>151</v>
      </c>
      <c r="G124" s="73" t="s">
        <v>151</v>
      </c>
      <c r="H124" s="73" t="s">
        <v>151</v>
      </c>
      <c r="J124" s="2">
        <f>J115*1.67/30</f>
        <v>0</v>
      </c>
      <c r="K124" s="2">
        <f>K115*2.32/30</f>
        <v>0</v>
      </c>
      <c r="L124" s="2">
        <f>L115*3/30</f>
        <v>0</v>
      </c>
      <c r="M124" s="2">
        <f>M115*1.16/30</f>
        <v>0</v>
      </c>
      <c r="N124" s="2">
        <f>N115*3.84/30</f>
        <v>0</v>
      </c>
      <c r="O124" s="2">
        <f>O115*12.75/30</f>
        <v>0</v>
      </c>
      <c r="P124" s="2">
        <f>P115*5/30</f>
        <v>0</v>
      </c>
      <c r="R124" s="2">
        <f>R115*5/30</f>
        <v>0</v>
      </c>
      <c r="S124" s="2">
        <f>S115*2/30</f>
        <v>0</v>
      </c>
      <c r="T124" s="2">
        <f>T115*1.16/30</f>
        <v>0</v>
      </c>
      <c r="U124" s="2">
        <f>U115*6.84/30</f>
        <v>0</v>
      </c>
      <c r="V124" s="2">
        <f>V115*10/30</f>
        <v>0</v>
      </c>
      <c r="W124" s="2">
        <f>W115*5/30</f>
        <v>0</v>
      </c>
      <c r="Y124" s="2">
        <f>Y115*5/30</f>
        <v>0</v>
      </c>
      <c r="Z124" s="2">
        <f>Z115*2/30</f>
        <v>0</v>
      </c>
      <c r="AA124" s="2">
        <f>AA115*1.16/30</f>
        <v>0</v>
      </c>
      <c r="AB124" s="2">
        <f>AB115*6.84/30</f>
        <v>0</v>
      </c>
      <c r="AC124" s="2">
        <f>AC115*10/30</f>
        <v>0</v>
      </c>
      <c r="AD124" s="2">
        <f>AD115*5/30</f>
        <v>0</v>
      </c>
    </row>
    <row r="125" spans="2:43" ht="16" thickBot="1" x14ac:dyDescent="0.4">
      <c r="E125" s="73" t="s">
        <v>151</v>
      </c>
      <c r="F125" s="73" t="s">
        <v>151</v>
      </c>
      <c r="G125" s="73" t="s">
        <v>151</v>
      </c>
      <c r="H125" s="73" t="s">
        <v>151</v>
      </c>
      <c r="J125" s="147">
        <f>J124+K124+L124+N124+O124+P124</f>
        <v>0</v>
      </c>
      <c r="R125" s="147">
        <f>R124+S124+U124+V124+W124</f>
        <v>0</v>
      </c>
      <c r="Y125" s="147">
        <f>Y124+Z124+AB124+AC124+AD124</f>
        <v>0</v>
      </c>
    </row>
    <row r="126" spans="2:43" x14ac:dyDescent="0.25">
      <c r="E126" s="73" t="s">
        <v>151</v>
      </c>
      <c r="F126" s="73" t="s">
        <v>151</v>
      </c>
      <c r="G126" s="73" t="s">
        <v>151</v>
      </c>
      <c r="H126" s="73" t="s">
        <v>151</v>
      </c>
      <c r="I126" s="2"/>
    </row>
    <row r="127" spans="2:43" ht="12" thickBot="1" x14ac:dyDescent="0.3">
      <c r="E127" s="73" t="s">
        <v>151</v>
      </c>
      <c r="F127" s="73" t="s">
        <v>151</v>
      </c>
      <c r="G127" s="73" t="s">
        <v>151</v>
      </c>
      <c r="H127" s="73" t="s">
        <v>151</v>
      </c>
      <c r="I127" s="2"/>
      <c r="J127" s="2">
        <f>J116*1.67/30</f>
        <v>0</v>
      </c>
      <c r="K127" s="2">
        <f>K116*2.32/30</f>
        <v>0</v>
      </c>
      <c r="L127" s="2">
        <f>L116*3/30</f>
        <v>0</v>
      </c>
      <c r="M127" s="2">
        <f>M116*1.16/30</f>
        <v>0</v>
      </c>
      <c r="N127" s="2">
        <f>N116*3.84/30</f>
        <v>0</v>
      </c>
      <c r="O127" s="2">
        <f>O116*12.75/30</f>
        <v>0</v>
      </c>
      <c r="P127" s="2">
        <f>P116*5/30</f>
        <v>0</v>
      </c>
      <c r="R127" s="2">
        <f>R116*5/30</f>
        <v>0</v>
      </c>
      <c r="S127" s="2">
        <f>S116*2/30</f>
        <v>0</v>
      </c>
      <c r="T127" s="2">
        <f>T116*1.16/30</f>
        <v>0</v>
      </c>
      <c r="U127" s="2">
        <f>U116*6.84/30</f>
        <v>0</v>
      </c>
      <c r="V127" s="2">
        <f>V116*10/30</f>
        <v>0</v>
      </c>
      <c r="W127" s="2">
        <f>W116*5/30</f>
        <v>0</v>
      </c>
      <c r="Y127" s="2">
        <f>Y116*5/30</f>
        <v>0</v>
      </c>
      <c r="Z127" s="2">
        <f>Z116*2/30</f>
        <v>0</v>
      </c>
      <c r="AA127" s="2">
        <f>AA116*1.16/30</f>
        <v>0</v>
      </c>
      <c r="AB127" s="2">
        <f>AB116*6.84/30</f>
        <v>0</v>
      </c>
      <c r="AC127" s="2">
        <f>AC116*10/30</f>
        <v>0</v>
      </c>
      <c r="AD127" s="2">
        <f>AD116*5/30</f>
        <v>0</v>
      </c>
    </row>
    <row r="128" spans="2:43" s="2" customFormat="1" ht="16" thickBot="1" x14ac:dyDescent="0.4">
      <c r="B128" s="1"/>
      <c r="C128" s="1"/>
      <c r="D128" s="1"/>
      <c r="E128" s="73" t="s">
        <v>151</v>
      </c>
      <c r="F128" s="73" t="s">
        <v>151</v>
      </c>
      <c r="G128" s="73" t="s">
        <v>151</v>
      </c>
      <c r="H128" s="73" t="s">
        <v>151</v>
      </c>
      <c r="J128" s="147">
        <f>J127+K127+L127+N127+O127+P127</f>
        <v>0</v>
      </c>
      <c r="R128" s="147">
        <f>R127+S127+U127+V127+W127</f>
        <v>0</v>
      </c>
      <c r="Y128" s="147">
        <f>Y127+Z127+AB127+AC127+AD127</f>
        <v>0</v>
      </c>
      <c r="AF128" s="1"/>
      <c r="AG128" s="4"/>
      <c r="AH128" s="1"/>
      <c r="AI128" s="1"/>
      <c r="AJ128" s="1"/>
      <c r="AK128" s="1"/>
      <c r="AL128" s="1"/>
      <c r="AM128" s="1"/>
      <c r="AN128" s="1"/>
      <c r="AO128" s="1"/>
      <c r="AP128" s="1"/>
      <c r="AQ128" s="1"/>
    </row>
    <row r="133" spans="1:51" ht="12" thickBot="1" x14ac:dyDescent="0.3"/>
    <row r="134" spans="1:51" ht="16.149999999999999" customHeight="1" thickBot="1" x14ac:dyDescent="0.3">
      <c r="I134" s="148" t="s">
        <v>156</v>
      </c>
      <c r="J134" s="379" t="s">
        <v>133</v>
      </c>
      <c r="K134" s="379"/>
      <c r="L134" s="379"/>
      <c r="M134" s="379"/>
      <c r="N134" s="379"/>
      <c r="O134" s="379"/>
      <c r="P134" s="380"/>
      <c r="Q134" s="149"/>
      <c r="R134" s="381" t="s">
        <v>134</v>
      </c>
      <c r="S134" s="382"/>
      <c r="T134" s="382"/>
      <c r="U134" s="382"/>
      <c r="V134" s="382"/>
      <c r="W134" s="383"/>
      <c r="X134" s="267" t="s">
        <v>22</v>
      </c>
      <c r="Y134" s="384" t="s">
        <v>135</v>
      </c>
      <c r="Z134" s="385"/>
      <c r="AA134" s="385"/>
      <c r="AB134" s="385"/>
      <c r="AC134" s="385"/>
      <c r="AD134" s="386"/>
    </row>
    <row r="135" spans="1:51" ht="24" customHeight="1" thickBot="1" x14ac:dyDescent="0.3">
      <c r="C135" s="150"/>
      <c r="D135" s="150"/>
      <c r="I135" s="148"/>
      <c r="J135" s="264" t="s">
        <v>138</v>
      </c>
      <c r="K135" s="265" t="s">
        <v>139</v>
      </c>
      <c r="L135" s="265" t="s">
        <v>140</v>
      </c>
      <c r="M135" s="265" t="s">
        <v>141</v>
      </c>
      <c r="N135" s="265" t="s">
        <v>142</v>
      </c>
      <c r="O135" s="265" t="s">
        <v>143</v>
      </c>
      <c r="P135" s="265" t="s">
        <v>31</v>
      </c>
      <c r="Q135" s="268"/>
      <c r="R135" s="266" t="s">
        <v>27</v>
      </c>
      <c r="S135" s="266" t="s">
        <v>144</v>
      </c>
      <c r="T135" s="263" t="s">
        <v>141</v>
      </c>
      <c r="U135" s="263" t="s">
        <v>145</v>
      </c>
      <c r="V135" s="263" t="s">
        <v>30</v>
      </c>
      <c r="W135" s="263" t="s">
        <v>31</v>
      </c>
      <c r="X135" s="268"/>
      <c r="Y135" s="266" t="s">
        <v>27</v>
      </c>
      <c r="Z135" s="266" t="s">
        <v>144</v>
      </c>
      <c r="AA135" s="263" t="s">
        <v>141</v>
      </c>
      <c r="AB135" s="263" t="s">
        <v>145</v>
      </c>
      <c r="AC135" s="263" t="s">
        <v>30</v>
      </c>
      <c r="AD135" s="263" t="s">
        <v>31</v>
      </c>
    </row>
    <row r="136" spans="1:51" x14ac:dyDescent="0.25">
      <c r="C136" s="150"/>
      <c r="D136" s="150"/>
      <c r="I136" s="269" t="s">
        <v>157</v>
      </c>
      <c r="J136" s="2">
        <v>0</v>
      </c>
      <c r="K136" s="2">
        <v>20</v>
      </c>
      <c r="L136" s="2">
        <v>20</v>
      </c>
      <c r="M136" s="2">
        <v>20</v>
      </c>
      <c r="N136" s="2">
        <v>20</v>
      </c>
      <c r="O136" s="2">
        <v>20</v>
      </c>
      <c r="P136" s="2">
        <v>20</v>
      </c>
      <c r="R136" s="2">
        <v>20</v>
      </c>
      <c r="S136" s="2">
        <v>20</v>
      </c>
      <c r="T136" s="2">
        <v>20</v>
      </c>
      <c r="U136" s="2">
        <v>20</v>
      </c>
      <c r="V136" s="2">
        <v>20</v>
      </c>
      <c r="W136" s="2">
        <v>20</v>
      </c>
      <c r="X136" s="2">
        <v>20</v>
      </c>
      <c r="Y136" s="2">
        <v>20</v>
      </c>
      <c r="Z136" s="2">
        <v>20</v>
      </c>
      <c r="AA136" s="2">
        <v>20</v>
      </c>
      <c r="AB136" s="2">
        <v>20</v>
      </c>
      <c r="AC136" s="2">
        <v>20</v>
      </c>
      <c r="AD136" s="151">
        <v>20</v>
      </c>
    </row>
    <row r="137" spans="1:51" ht="12" thickBot="1" x14ac:dyDescent="0.3">
      <c r="C137" s="150"/>
      <c r="D137" s="150"/>
      <c r="I137" s="148"/>
      <c r="J137" s="39">
        <v>0</v>
      </c>
      <c r="K137" s="47">
        <v>1</v>
      </c>
      <c r="L137" s="47">
        <v>1</v>
      </c>
      <c r="M137" s="47">
        <v>0.75</v>
      </c>
      <c r="N137" s="47">
        <v>0.75</v>
      </c>
      <c r="O137" s="47">
        <v>0.2</v>
      </c>
      <c r="P137" s="47">
        <v>0.2</v>
      </c>
      <c r="R137" s="47">
        <v>0.2</v>
      </c>
      <c r="S137" s="47">
        <v>0.2</v>
      </c>
      <c r="T137" s="47">
        <v>0.2</v>
      </c>
      <c r="U137" s="47">
        <v>0.2</v>
      </c>
      <c r="V137" s="47">
        <v>0.2</v>
      </c>
      <c r="W137" s="47">
        <v>0.2</v>
      </c>
      <c r="X137" s="47">
        <v>0.2</v>
      </c>
      <c r="Y137" s="47">
        <v>0.2</v>
      </c>
      <c r="Z137" s="47">
        <v>0.2</v>
      </c>
      <c r="AA137" s="47">
        <v>0.2</v>
      </c>
      <c r="AB137" s="47">
        <v>0.2</v>
      </c>
      <c r="AC137" s="47">
        <v>0.2</v>
      </c>
      <c r="AD137" s="47">
        <v>0.2</v>
      </c>
    </row>
    <row r="138" spans="1:51" x14ac:dyDescent="0.25">
      <c r="C138" s="150"/>
      <c r="D138" s="150"/>
      <c r="I138" s="148"/>
      <c r="J138" s="152">
        <f t="shared" ref="J138:P138" si="27">J136*J137</f>
        <v>0</v>
      </c>
      <c r="K138" s="153">
        <f t="shared" si="27"/>
        <v>20</v>
      </c>
      <c r="L138" s="153">
        <f t="shared" si="27"/>
        <v>20</v>
      </c>
      <c r="M138" s="153">
        <f t="shared" si="27"/>
        <v>15</v>
      </c>
      <c r="N138" s="153">
        <f t="shared" si="27"/>
        <v>15</v>
      </c>
      <c r="O138" s="153">
        <f t="shared" si="27"/>
        <v>4</v>
      </c>
      <c r="P138" s="153">
        <f t="shared" si="27"/>
        <v>4</v>
      </c>
      <c r="R138" s="153">
        <f t="shared" ref="R138:AD138" si="28">R136*R137</f>
        <v>4</v>
      </c>
      <c r="S138" s="153">
        <f t="shared" si="28"/>
        <v>4</v>
      </c>
      <c r="T138" s="153">
        <f t="shared" ref="T138" si="29">T136*T137</f>
        <v>4</v>
      </c>
      <c r="U138" s="153">
        <f t="shared" si="28"/>
        <v>4</v>
      </c>
      <c r="V138" s="153">
        <f t="shared" si="28"/>
        <v>4</v>
      </c>
      <c r="W138" s="153">
        <f t="shared" si="28"/>
        <v>4</v>
      </c>
      <c r="Y138" s="153">
        <f t="shared" si="28"/>
        <v>4</v>
      </c>
      <c r="Z138" s="153">
        <f t="shared" si="28"/>
        <v>4</v>
      </c>
      <c r="AA138" s="153">
        <f t="shared" ref="AA138" si="30">AA136*AA137</f>
        <v>4</v>
      </c>
      <c r="AB138" s="153">
        <f t="shared" si="28"/>
        <v>4</v>
      </c>
      <c r="AC138" s="153">
        <f t="shared" si="28"/>
        <v>4</v>
      </c>
      <c r="AD138" s="154">
        <f t="shared" si="28"/>
        <v>4</v>
      </c>
    </row>
    <row r="139" spans="1:51" x14ac:dyDescent="0.25">
      <c r="C139" s="150"/>
      <c r="D139" s="150"/>
      <c r="I139" s="148" t="s">
        <v>158</v>
      </c>
      <c r="J139" s="2">
        <f>J138*$C$88</f>
        <v>0</v>
      </c>
      <c r="K139" s="2">
        <f t="shared" ref="K139:P139" si="31">K138*$C$88</f>
        <v>280</v>
      </c>
      <c r="L139" s="2">
        <f t="shared" si="31"/>
        <v>280</v>
      </c>
      <c r="M139" s="2">
        <f t="shared" ref="M139" si="32">M138*$C$88</f>
        <v>210</v>
      </c>
      <c r="N139" s="2">
        <f t="shared" si="31"/>
        <v>210</v>
      </c>
      <c r="O139" s="2">
        <f t="shared" si="31"/>
        <v>56</v>
      </c>
      <c r="P139" s="2">
        <f t="shared" si="31"/>
        <v>56</v>
      </c>
      <c r="R139" s="2">
        <f>R138*$C$88</f>
        <v>56</v>
      </c>
      <c r="S139" s="2">
        <f t="shared" ref="S139:X139" si="33">S138*$C$88</f>
        <v>56</v>
      </c>
      <c r="T139" s="2">
        <f t="shared" ref="T139" si="34">T138*$C$88</f>
        <v>56</v>
      </c>
      <c r="U139" s="2">
        <f t="shared" si="33"/>
        <v>56</v>
      </c>
      <c r="V139" s="2">
        <f t="shared" si="33"/>
        <v>56</v>
      </c>
      <c r="W139" s="2">
        <f t="shared" si="33"/>
        <v>56</v>
      </c>
      <c r="X139" s="2">
        <f t="shared" si="33"/>
        <v>0</v>
      </c>
      <c r="Y139" s="2">
        <f>Y138*$C$88</f>
        <v>56</v>
      </c>
      <c r="Z139" s="2">
        <f t="shared" ref="Z139:AE139" si="35">Z138*$C$88</f>
        <v>56</v>
      </c>
      <c r="AA139" s="2">
        <f t="shared" ref="AA139" si="36">AA138*$C$88</f>
        <v>56</v>
      </c>
      <c r="AB139" s="2">
        <f t="shared" si="35"/>
        <v>56</v>
      </c>
      <c r="AC139" s="2">
        <f t="shared" si="35"/>
        <v>56</v>
      </c>
      <c r="AD139" s="2">
        <f t="shared" si="35"/>
        <v>56</v>
      </c>
      <c r="AE139" s="2">
        <f t="shared" si="35"/>
        <v>0</v>
      </c>
    </row>
    <row r="140" spans="1:51" s="2" customFormat="1" x14ac:dyDescent="0.25">
      <c r="A140" s="1"/>
      <c r="B140" s="1"/>
      <c r="C140" s="150"/>
      <c r="D140" s="150"/>
      <c r="I140" s="148" t="s">
        <v>159</v>
      </c>
      <c r="J140" s="155">
        <f>J139*1.67/30</f>
        <v>0</v>
      </c>
      <c r="K140" s="156">
        <f>K139*2.32/30</f>
        <v>21.653333333333329</v>
      </c>
      <c r="L140" s="156">
        <f>L139*6/30</f>
        <v>56</v>
      </c>
      <c r="M140" s="156">
        <f>M139*1.16/30</f>
        <v>8.1199999999999992</v>
      </c>
      <c r="N140" s="156">
        <f>N139*2.25/30</f>
        <v>15.75</v>
      </c>
      <c r="O140" s="156">
        <f>O139*12.75/30</f>
        <v>23.8</v>
      </c>
      <c r="P140" s="156">
        <f>P139*5/30</f>
        <v>9.3333333333333339</v>
      </c>
      <c r="R140" s="156">
        <f>R139*5/30</f>
        <v>9.3333333333333339</v>
      </c>
      <c r="S140" s="156">
        <f>S139*2/30</f>
        <v>3.7333333333333334</v>
      </c>
      <c r="T140" s="156">
        <f>T139*1.16/30</f>
        <v>2.1653333333333333</v>
      </c>
      <c r="U140" s="156">
        <f>U139*6.84/30</f>
        <v>12.767999999999999</v>
      </c>
      <c r="V140" s="156">
        <f>V139*10/30</f>
        <v>18.666666666666668</v>
      </c>
      <c r="W140" s="156">
        <f>W139*5/30</f>
        <v>9.3333333333333339</v>
      </c>
      <c r="Y140" s="156">
        <f>Y139*5/30</f>
        <v>9.3333333333333339</v>
      </c>
      <c r="Z140" s="156">
        <f>Z139*2/30</f>
        <v>3.7333333333333334</v>
      </c>
      <c r="AA140" s="156">
        <f>AA139*1.16/30</f>
        <v>2.1653333333333333</v>
      </c>
      <c r="AB140" s="156">
        <f>AB139*6.84/30</f>
        <v>12.767999999999999</v>
      </c>
      <c r="AC140" s="156">
        <f>AC139*10/30</f>
        <v>18.666666666666668</v>
      </c>
      <c r="AD140" s="156">
        <f>AD139*5/30</f>
        <v>9.3333333333333339</v>
      </c>
      <c r="AF140" s="1"/>
      <c r="AG140" s="4"/>
      <c r="AH140" s="1"/>
      <c r="AI140" s="1"/>
      <c r="AJ140" s="1"/>
      <c r="AK140" s="1"/>
      <c r="AL140" s="1"/>
      <c r="AM140" s="1"/>
      <c r="AN140" s="1"/>
      <c r="AO140" s="1"/>
      <c r="AP140" s="1"/>
      <c r="AQ140" s="1"/>
      <c r="AR140" s="1"/>
      <c r="AS140" s="1"/>
      <c r="AT140" s="1"/>
      <c r="AU140" s="1"/>
      <c r="AV140" s="1"/>
      <c r="AW140" s="1"/>
      <c r="AX140" s="1"/>
      <c r="AY140" s="1"/>
    </row>
    <row r="141" spans="1:51" s="2" customFormat="1" ht="16" thickBot="1" x14ac:dyDescent="0.4">
      <c r="A141" s="1"/>
      <c r="B141" s="1"/>
      <c r="C141" s="150"/>
      <c r="D141" s="150"/>
      <c r="I141" s="157">
        <f>SUM(J141:AD141)</f>
        <v>234.20599999999999</v>
      </c>
      <c r="J141" s="158">
        <f>J140+K140+L140+N140+O140+P140</f>
        <v>126.53666666666666</v>
      </c>
      <c r="K141" s="159"/>
      <c r="L141" s="159"/>
      <c r="M141" s="159"/>
      <c r="N141" s="159"/>
      <c r="O141" s="159"/>
      <c r="P141" s="160"/>
      <c r="Q141" s="161"/>
      <c r="R141" s="162">
        <f>R140+S140+U140+V140+W140+X140</f>
        <v>53.834666666666671</v>
      </c>
      <c r="S141" s="160"/>
      <c r="T141" s="160"/>
      <c r="U141" s="160"/>
      <c r="V141" s="160"/>
      <c r="W141" s="160"/>
      <c r="X141" s="161"/>
      <c r="Y141" s="162">
        <f>Y140+Z140+AB140+AC140+AD140+AE140</f>
        <v>53.834666666666671</v>
      </c>
      <c r="Z141" s="160"/>
      <c r="AA141" s="160"/>
      <c r="AB141" s="160"/>
      <c r="AC141" s="160"/>
      <c r="AD141" s="160"/>
      <c r="AF141" s="1"/>
      <c r="AG141" s="4"/>
      <c r="AH141" s="1"/>
      <c r="AI141" s="1"/>
      <c r="AJ141" s="1"/>
      <c r="AK141" s="1"/>
      <c r="AL141" s="1"/>
      <c r="AM141" s="1"/>
      <c r="AN141" s="1"/>
      <c r="AO141" s="1"/>
      <c r="AP141" s="1"/>
      <c r="AQ141" s="1"/>
      <c r="AR141" s="1"/>
      <c r="AS141" s="1"/>
      <c r="AT141" s="1"/>
      <c r="AU141" s="1"/>
      <c r="AV141" s="1"/>
      <c r="AW141" s="1"/>
      <c r="AX141" s="1"/>
      <c r="AY141" s="1"/>
    </row>
    <row r="142" spans="1:51" s="2" customFormat="1" x14ac:dyDescent="0.25">
      <c r="A142" s="1"/>
      <c r="B142" s="1"/>
      <c r="C142" s="150"/>
      <c r="D142" s="150"/>
      <c r="I142" s="3"/>
      <c r="AF142" s="1"/>
      <c r="AG142" s="4"/>
      <c r="AH142" s="1"/>
      <c r="AI142" s="1"/>
      <c r="AJ142" s="1"/>
      <c r="AK142" s="1"/>
      <c r="AL142" s="1"/>
      <c r="AM142" s="1"/>
      <c r="AN142" s="1"/>
      <c r="AO142" s="1"/>
      <c r="AP142" s="1"/>
      <c r="AQ142" s="1"/>
      <c r="AR142" s="1"/>
      <c r="AS142" s="1"/>
      <c r="AT142" s="1"/>
      <c r="AU142" s="1"/>
      <c r="AV142" s="1"/>
      <c r="AW142" s="1"/>
      <c r="AX142" s="1"/>
      <c r="AY142" s="1"/>
    </row>
    <row r="175" spans="2:2" x14ac:dyDescent="0.25">
      <c r="B175" s="163" t="s">
        <v>160</v>
      </c>
    </row>
    <row r="176" spans="2:2" x14ac:dyDescent="0.25">
      <c r="B176" s="164" t="s">
        <v>130</v>
      </c>
    </row>
  </sheetData>
  <autoFilter ref="A14:AY128" xr:uid="{2E1677D6-B25C-4DB9-AB0C-A4F188F4B644}">
    <filterColumn colId="1" showButton="0"/>
    <filterColumn colId="2" showButton="0"/>
    <filterColumn colId="3" showButton="0"/>
  </autoFilter>
  <dataConsolidate/>
  <mergeCells count="47">
    <mergeCell ref="AG92:AG93"/>
    <mergeCell ref="R13:W13"/>
    <mergeCell ref="Y13:AD13"/>
    <mergeCell ref="AE13:AE14"/>
    <mergeCell ref="E13:F13"/>
    <mergeCell ref="G13:H13"/>
    <mergeCell ref="I13:I14"/>
    <mergeCell ref="J13:P13"/>
    <mergeCell ref="H94:H95"/>
    <mergeCell ref="H96:H97"/>
    <mergeCell ref="E99:F99"/>
    <mergeCell ref="G99:H99"/>
    <mergeCell ref="I99:I100"/>
    <mergeCell ref="E100:F100"/>
    <mergeCell ref="G100:H100"/>
    <mergeCell ref="E101:F101"/>
    <mergeCell ref="G101:H101"/>
    <mergeCell ref="I101:I102"/>
    <mergeCell ref="E102:F102"/>
    <mergeCell ref="G102:H102"/>
    <mergeCell ref="H113:H114"/>
    <mergeCell ref="H115:H116"/>
    <mergeCell ref="X104:X107"/>
    <mergeCell ref="AE104:AE107"/>
    <mergeCell ref="E105:F105"/>
    <mergeCell ref="G105:H105"/>
    <mergeCell ref="E106:F106"/>
    <mergeCell ref="G106:H106"/>
    <mergeCell ref="I106:I107"/>
    <mergeCell ref="E107:F107"/>
    <mergeCell ref="G107:H107"/>
    <mergeCell ref="E104:F104"/>
    <mergeCell ref="G104:H104"/>
    <mergeCell ref="I104:I105"/>
    <mergeCell ref="Q104:Q107"/>
    <mergeCell ref="J2:AE11"/>
    <mergeCell ref="AF13:AF14"/>
    <mergeCell ref="J134:P134"/>
    <mergeCell ref="R134:W134"/>
    <mergeCell ref="Y134:AD134"/>
    <mergeCell ref="J108:AD108"/>
    <mergeCell ref="J110:P110"/>
    <mergeCell ref="R110:W110"/>
    <mergeCell ref="Y110:AD110"/>
    <mergeCell ref="Q99:Q102"/>
    <mergeCell ref="X99:X102"/>
    <mergeCell ref="AE99:AE102"/>
  </mergeCells>
  <conditionalFormatting sqref="C2">
    <cfRule type="containsText" dxfId="7" priority="56" operator="containsText" text="HYDROGENE">
      <formula>NOT(ISERROR(SEARCH("HYDROGENE",C2)))</formula>
    </cfRule>
    <cfRule type="containsText" dxfId="6" priority="57" operator="containsText" text="ELECTRIQUE ">
      <formula>NOT(ISERROR(SEARCH("ELECTRIQUE ",C2)))</formula>
    </cfRule>
  </conditionalFormatting>
  <conditionalFormatting sqref="C31:D31 E16:H31 E33:H37 E39:H47 E49:H71 E73:H77 E79:H86">
    <cfRule type="colorScale" priority="79">
      <colorScale>
        <cfvo type="num" val="0"/>
        <cfvo type="num" val="1"/>
        <color rgb="FF00B050"/>
        <color rgb="FFFFC000"/>
      </colorScale>
    </cfRule>
  </conditionalFormatting>
  <conditionalFormatting sqref="C31:D31">
    <cfRule type="colorScale" priority="46">
      <colorScale>
        <cfvo type="num" val="0"/>
        <cfvo type="num" val="1"/>
        <color rgb="FF00B050"/>
        <color rgb="FFFFC000"/>
      </colorScale>
    </cfRule>
  </conditionalFormatting>
  <conditionalFormatting sqref="J100">
    <cfRule type="iconSet" priority="114">
      <iconSet iconSet="4Arrows">
        <cfvo type="percent" val="0"/>
        <cfvo type="num" val="-0.1"/>
        <cfvo type="num" val="0"/>
        <cfvo type="num" val="0.1"/>
      </iconSet>
    </cfRule>
  </conditionalFormatting>
  <conditionalFormatting sqref="J102 O102:P102 L102">
    <cfRule type="iconSet" priority="111">
      <iconSet iconSet="4Arrows">
        <cfvo type="percent" val="0"/>
        <cfvo type="num" val="-0.1"/>
        <cfvo type="num" val="0"/>
        <cfvo type="num" val="0.1"/>
      </iconSet>
    </cfRule>
  </conditionalFormatting>
  <conditionalFormatting sqref="J105">
    <cfRule type="colorScale" priority="127">
      <colorScale>
        <cfvo type="num" val="-0.1"/>
        <cfvo type="num" val="0"/>
        <cfvo type="num" val="0.1"/>
        <color rgb="FFF8696B"/>
        <color rgb="FFFFEB84"/>
        <color rgb="FF63BE7B"/>
      </colorScale>
    </cfRule>
  </conditionalFormatting>
  <conditionalFormatting sqref="J107">
    <cfRule type="colorScale" priority="121">
      <colorScale>
        <cfvo type="num" val="-0.1"/>
        <cfvo type="num" val="0"/>
        <cfvo type="num" val="0.1"/>
        <color rgb="FFF8696B"/>
        <color rgb="FFFFEB84"/>
        <color rgb="FF63BE7B"/>
      </colorScale>
    </cfRule>
  </conditionalFormatting>
  <conditionalFormatting sqref="J113:P116">
    <cfRule type="cellIs" dxfId="5" priority="58" stopIfTrue="1" operator="greaterThan">
      <formula>$C$89</formula>
    </cfRule>
    <cfRule type="cellIs" dxfId="4" priority="59" stopIfTrue="1" operator="lessThan">
      <formula>$C$89</formula>
    </cfRule>
  </conditionalFormatting>
  <conditionalFormatting sqref="K100">
    <cfRule type="iconSet" priority="82">
      <iconSet iconSet="4Arrows">
        <cfvo type="percent" val="0"/>
        <cfvo type="num" val="-0.1"/>
        <cfvo type="num" val="0"/>
        <cfvo type="num" val="0.1"/>
      </iconSet>
    </cfRule>
  </conditionalFormatting>
  <conditionalFormatting sqref="K102">
    <cfRule type="iconSet" priority="81">
      <iconSet iconSet="4Arrows">
        <cfvo type="percent" val="0"/>
        <cfvo type="num" val="-0.1"/>
        <cfvo type="num" val="0"/>
        <cfvo type="num" val="0.1"/>
      </iconSet>
    </cfRule>
  </conditionalFormatting>
  <conditionalFormatting sqref="K105">
    <cfRule type="colorScale" priority="84">
      <colorScale>
        <cfvo type="num" val="-0.1"/>
        <cfvo type="num" val="0"/>
        <cfvo type="num" val="0.1"/>
        <color rgb="FFF8696B"/>
        <color rgb="FFFFEB84"/>
        <color rgb="FF63BE7B"/>
      </colorScale>
    </cfRule>
  </conditionalFormatting>
  <conditionalFormatting sqref="K107">
    <cfRule type="colorScale" priority="83">
      <colorScale>
        <cfvo type="num" val="-0.1"/>
        <cfvo type="num" val="0"/>
        <cfvo type="num" val="0.1"/>
        <color rgb="FFF8696B"/>
        <color rgb="FFFFEB84"/>
        <color rgb="FF63BE7B"/>
      </colorScale>
    </cfRule>
  </conditionalFormatting>
  <conditionalFormatting sqref="L100 O100:P100">
    <cfRule type="iconSet" priority="113">
      <iconSet iconSet="4Arrows">
        <cfvo type="percent" val="0"/>
        <cfvo type="num" val="-0.1"/>
        <cfvo type="num" val="0"/>
        <cfvo type="num" val="0.1"/>
      </iconSet>
    </cfRule>
  </conditionalFormatting>
  <conditionalFormatting sqref="L105">
    <cfRule type="colorScale" priority="125">
      <colorScale>
        <cfvo type="num" val="-0.1"/>
        <cfvo type="num" val="0"/>
        <cfvo type="num" val="0.1"/>
        <color rgb="FFF8696B"/>
        <color rgb="FFFFEB84"/>
        <color rgb="FF63BE7B"/>
      </colorScale>
    </cfRule>
  </conditionalFormatting>
  <conditionalFormatting sqref="L107">
    <cfRule type="colorScale" priority="120">
      <colorScale>
        <cfvo type="num" val="-0.1"/>
        <cfvo type="num" val="0"/>
        <cfvo type="num" val="0.1"/>
        <color rgb="FFF8696B"/>
        <color rgb="FFFFEB84"/>
        <color rgb="FF63BE7B"/>
      </colorScale>
    </cfRule>
  </conditionalFormatting>
  <conditionalFormatting sqref="M100:N100">
    <cfRule type="iconSet" priority="107">
      <iconSet iconSet="4Arrows">
        <cfvo type="percent" val="0"/>
        <cfvo type="num" val="-0.1"/>
        <cfvo type="num" val="0"/>
        <cfvo type="num" val="0.1"/>
      </iconSet>
    </cfRule>
  </conditionalFormatting>
  <conditionalFormatting sqref="M102:N102">
    <cfRule type="iconSet" priority="106">
      <iconSet iconSet="4Arrows">
        <cfvo type="percent" val="0"/>
        <cfvo type="num" val="-0.1"/>
        <cfvo type="num" val="0"/>
        <cfvo type="num" val="0.1"/>
      </iconSet>
    </cfRule>
  </conditionalFormatting>
  <conditionalFormatting sqref="M105:N105">
    <cfRule type="colorScale" priority="109">
      <colorScale>
        <cfvo type="num" val="-0.1"/>
        <cfvo type="num" val="0"/>
        <cfvo type="num" val="0.1"/>
        <color rgb="FFF8696B"/>
        <color rgb="FFFFEB84"/>
        <color rgb="FF63BE7B"/>
      </colorScale>
    </cfRule>
  </conditionalFormatting>
  <conditionalFormatting sqref="M107:N107">
    <cfRule type="colorScale" priority="108">
      <colorScale>
        <cfvo type="num" val="-0.1"/>
        <cfvo type="num" val="0"/>
        <cfvo type="num" val="0.1"/>
        <color rgb="FFF8696B"/>
        <color rgb="FFFFEB84"/>
        <color rgb="FF63BE7B"/>
      </colorScale>
    </cfRule>
  </conditionalFormatting>
  <conditionalFormatting sqref="O105">
    <cfRule type="colorScale" priority="128">
      <colorScale>
        <cfvo type="num" val="-0.1"/>
        <cfvo type="num" val="0"/>
        <cfvo type="num" val="0.1"/>
        <color rgb="FFF8696B"/>
        <color rgb="FFFFEB84"/>
        <color rgb="FF63BE7B"/>
      </colorScale>
    </cfRule>
  </conditionalFormatting>
  <conditionalFormatting sqref="O107">
    <cfRule type="colorScale" priority="122">
      <colorScale>
        <cfvo type="num" val="-0.1"/>
        <cfvo type="num" val="0"/>
        <cfvo type="num" val="0.1"/>
        <color rgb="FFF8696B"/>
        <color rgb="FFFFEB84"/>
        <color rgb="FF63BE7B"/>
      </colorScale>
    </cfRule>
  </conditionalFormatting>
  <conditionalFormatting sqref="P105">
    <cfRule type="colorScale" priority="132">
      <colorScale>
        <cfvo type="num" val="-0.1"/>
        <cfvo type="num" val="0"/>
        <cfvo type="num" val="0.1"/>
        <color rgb="FFF8696B"/>
        <color rgb="FFFFEB84"/>
        <color rgb="FF63BE7B"/>
      </colorScale>
    </cfRule>
  </conditionalFormatting>
  <conditionalFormatting sqref="P107">
    <cfRule type="colorScale" priority="123">
      <colorScale>
        <cfvo type="num" val="-0.1"/>
        <cfvo type="num" val="0"/>
        <cfvo type="num" val="0.1"/>
        <color rgb="FFF8696B"/>
        <color rgb="FFFFEB84"/>
        <color rgb="FF63BE7B"/>
      </colorScale>
    </cfRule>
  </conditionalFormatting>
  <conditionalFormatting sqref="R105">
    <cfRule type="colorScale" priority="131">
      <colorScale>
        <cfvo type="num" val="-0.1"/>
        <cfvo type="num" val="0"/>
        <cfvo type="num" val="0.1"/>
        <color rgb="FFF8696B"/>
        <color rgb="FFFFEB84"/>
        <color rgb="FF63BE7B"/>
      </colorScale>
    </cfRule>
  </conditionalFormatting>
  <conditionalFormatting sqref="R107">
    <cfRule type="colorScale" priority="119">
      <colorScale>
        <cfvo type="num" val="-0.1"/>
        <cfvo type="num" val="0"/>
        <cfvo type="num" val="0.1"/>
        <color rgb="FFF8696B"/>
        <color rgb="FFFFEB84"/>
        <color rgb="FF63BE7B"/>
      </colorScale>
    </cfRule>
  </conditionalFormatting>
  <conditionalFormatting sqref="R100:S100 V100:W100">
    <cfRule type="iconSet" priority="112">
      <iconSet iconSet="4Arrows">
        <cfvo type="percent" val="0"/>
        <cfvo type="num" val="-0.1"/>
        <cfvo type="num" val="0"/>
        <cfvo type="num" val="0.1"/>
      </iconSet>
    </cfRule>
  </conditionalFormatting>
  <conditionalFormatting sqref="R102:S102 V102:W102">
    <cfRule type="iconSet" priority="110">
      <iconSet iconSet="4Arrows">
        <cfvo type="percent" val="0"/>
        <cfvo type="num" val="-0.1"/>
        <cfvo type="num" val="0"/>
        <cfvo type="num" val="0.1"/>
      </iconSet>
    </cfRule>
  </conditionalFormatting>
  <conditionalFormatting sqref="R113:W116">
    <cfRule type="cellIs" dxfId="3" priority="61" stopIfTrue="1" operator="lessThan">
      <formula>$C$89</formula>
    </cfRule>
    <cfRule type="cellIs" dxfId="2" priority="60" stopIfTrue="1" operator="greaterThan">
      <formula>$C$89</formula>
    </cfRule>
  </conditionalFormatting>
  <conditionalFormatting sqref="S105">
    <cfRule type="colorScale" priority="124">
      <colorScale>
        <cfvo type="num" val="-0.1"/>
        <cfvo type="num" val="0"/>
        <cfvo type="num" val="0.1"/>
        <color rgb="FFF8696B"/>
        <color rgb="FFFFEB84"/>
        <color rgb="FF63BE7B"/>
      </colorScale>
    </cfRule>
  </conditionalFormatting>
  <conditionalFormatting sqref="S107">
    <cfRule type="colorScale" priority="116">
      <colorScale>
        <cfvo type="num" val="-0.1"/>
        <cfvo type="num" val="0"/>
        <cfvo type="num" val="0.1"/>
        <color rgb="FFF8696B"/>
        <color rgb="FFFFEB84"/>
        <color rgb="FF63BE7B"/>
      </colorScale>
    </cfRule>
  </conditionalFormatting>
  <conditionalFormatting sqref="T100:U100">
    <cfRule type="iconSet" priority="103">
      <iconSet iconSet="4Arrows">
        <cfvo type="percent" val="0"/>
        <cfvo type="num" val="-0.1"/>
        <cfvo type="num" val="0"/>
        <cfvo type="num" val="0.1"/>
      </iconSet>
    </cfRule>
  </conditionalFormatting>
  <conditionalFormatting sqref="T102:U102">
    <cfRule type="iconSet" priority="102">
      <iconSet iconSet="4Arrows">
        <cfvo type="percent" val="0"/>
        <cfvo type="num" val="-0.1"/>
        <cfvo type="num" val="0"/>
        <cfvo type="num" val="0.1"/>
      </iconSet>
    </cfRule>
  </conditionalFormatting>
  <conditionalFormatting sqref="T105:U105">
    <cfRule type="colorScale" priority="105">
      <colorScale>
        <cfvo type="num" val="-0.1"/>
        <cfvo type="num" val="0"/>
        <cfvo type="num" val="0.1"/>
        <color rgb="FFF8696B"/>
        <color rgb="FFFFEB84"/>
        <color rgb="FF63BE7B"/>
      </colorScale>
    </cfRule>
  </conditionalFormatting>
  <conditionalFormatting sqref="T107:U107">
    <cfRule type="colorScale" priority="104">
      <colorScale>
        <cfvo type="num" val="-0.1"/>
        <cfvo type="num" val="0"/>
        <cfvo type="num" val="0.1"/>
        <color rgb="FFF8696B"/>
        <color rgb="FFFFEB84"/>
        <color rgb="FF63BE7B"/>
      </colorScale>
    </cfRule>
  </conditionalFormatting>
  <conditionalFormatting sqref="V105">
    <cfRule type="colorScale" priority="130">
      <colorScale>
        <cfvo type="num" val="-0.1"/>
        <cfvo type="num" val="0"/>
        <cfvo type="num" val="0.1"/>
        <color rgb="FFF8696B"/>
        <color rgb="FFFFEB84"/>
        <color rgb="FF63BE7B"/>
      </colorScale>
    </cfRule>
  </conditionalFormatting>
  <conditionalFormatting sqref="V107">
    <cfRule type="colorScale" priority="118">
      <colorScale>
        <cfvo type="num" val="-0.1"/>
        <cfvo type="num" val="0"/>
        <cfvo type="num" val="0.1"/>
        <color rgb="FFF8696B"/>
        <color rgb="FFFFEB84"/>
        <color rgb="FF63BE7B"/>
      </colorScale>
    </cfRule>
  </conditionalFormatting>
  <conditionalFormatting sqref="W105">
    <cfRule type="colorScale" priority="129">
      <colorScale>
        <cfvo type="num" val="-0.1"/>
        <cfvo type="num" val="0"/>
        <cfvo type="num" val="0.1"/>
        <color rgb="FFF8696B"/>
        <color rgb="FFFFEB84"/>
        <color rgb="FF63BE7B"/>
      </colorScale>
    </cfRule>
  </conditionalFormatting>
  <conditionalFormatting sqref="W107">
    <cfRule type="colorScale" priority="117">
      <colorScale>
        <cfvo type="num" val="-0.1"/>
        <cfvo type="num" val="0"/>
        <cfvo type="num" val="0.1"/>
        <color rgb="FFF8696B"/>
        <color rgb="FFFFEB84"/>
        <color rgb="FF63BE7B"/>
      </colorScale>
    </cfRule>
  </conditionalFormatting>
  <conditionalFormatting sqref="Y100 AD100">
    <cfRule type="iconSet" priority="133">
      <iconSet iconSet="4Arrows">
        <cfvo type="percent" val="0"/>
        <cfvo type="num" val="-0.1"/>
        <cfvo type="num" val="0"/>
        <cfvo type="num" val="0.1"/>
      </iconSet>
    </cfRule>
  </conditionalFormatting>
  <conditionalFormatting sqref="Y102 AD102">
    <cfRule type="iconSet" priority="134">
      <iconSet iconSet="4Arrows">
        <cfvo type="percent" val="0"/>
        <cfvo type="num" val="-0.1"/>
        <cfvo type="num" val="0"/>
        <cfvo type="num" val="0.1"/>
      </iconSet>
    </cfRule>
  </conditionalFormatting>
  <conditionalFormatting sqref="Y105 AD105 AD107">
    <cfRule type="colorScale" priority="126">
      <colorScale>
        <cfvo type="num" val="-0.1"/>
        <cfvo type="num" val="0"/>
        <cfvo type="num" val="0.1"/>
        <color rgb="FFF8696B"/>
        <color rgb="FFFFEB84"/>
        <color rgb="FF63BE7B"/>
      </colorScale>
    </cfRule>
  </conditionalFormatting>
  <conditionalFormatting sqref="Y107">
    <cfRule type="colorScale" priority="115">
      <colorScale>
        <cfvo type="num" val="-0.1"/>
        <cfvo type="num" val="0"/>
        <cfvo type="num" val="0.1"/>
        <color rgb="FFF8696B"/>
        <color rgb="FFFFEB84"/>
        <color rgb="FF63BE7B"/>
      </colorScale>
    </cfRule>
  </conditionalFormatting>
  <conditionalFormatting sqref="Y113:AD116">
    <cfRule type="cellIs" dxfId="1" priority="63" stopIfTrue="1" operator="lessThan">
      <formula>$D$90</formula>
    </cfRule>
    <cfRule type="cellIs" dxfId="0" priority="62" stopIfTrue="1" operator="greaterThan">
      <formula>$D$90</formula>
    </cfRule>
  </conditionalFormatting>
  <conditionalFormatting sqref="Z100">
    <cfRule type="iconSet" priority="99">
      <iconSet iconSet="4Arrows">
        <cfvo type="percent" val="0"/>
        <cfvo type="num" val="-0.1"/>
        <cfvo type="num" val="0"/>
        <cfvo type="num" val="0.1"/>
      </iconSet>
    </cfRule>
  </conditionalFormatting>
  <conditionalFormatting sqref="Z102">
    <cfRule type="iconSet" priority="98">
      <iconSet iconSet="4Arrows">
        <cfvo type="percent" val="0"/>
        <cfvo type="num" val="-0.1"/>
        <cfvo type="num" val="0"/>
        <cfvo type="num" val="0.1"/>
      </iconSet>
    </cfRule>
  </conditionalFormatting>
  <conditionalFormatting sqref="Z105">
    <cfRule type="colorScale" priority="101">
      <colorScale>
        <cfvo type="num" val="-0.1"/>
        <cfvo type="num" val="0"/>
        <cfvo type="num" val="0.1"/>
        <color rgb="FFF8696B"/>
        <color rgb="FFFFEB84"/>
        <color rgb="FF63BE7B"/>
      </colorScale>
    </cfRule>
  </conditionalFormatting>
  <conditionalFormatting sqref="Z107">
    <cfRule type="colorScale" priority="100">
      <colorScale>
        <cfvo type="num" val="-0.1"/>
        <cfvo type="num" val="0"/>
        <cfvo type="num" val="0.1"/>
        <color rgb="FFF8696B"/>
        <color rgb="FFFFEB84"/>
        <color rgb="FF63BE7B"/>
      </colorScale>
    </cfRule>
  </conditionalFormatting>
  <conditionalFormatting sqref="AA100:AB100">
    <cfRule type="iconSet" priority="95">
      <iconSet iconSet="4Arrows">
        <cfvo type="percent" val="0"/>
        <cfvo type="num" val="-0.1"/>
        <cfvo type="num" val="0"/>
        <cfvo type="num" val="0.1"/>
      </iconSet>
    </cfRule>
  </conditionalFormatting>
  <conditionalFormatting sqref="AA102:AB102">
    <cfRule type="iconSet" priority="94">
      <iconSet iconSet="4Arrows">
        <cfvo type="percent" val="0"/>
        <cfvo type="num" val="-0.1"/>
        <cfvo type="num" val="0"/>
        <cfvo type="num" val="0.1"/>
      </iconSet>
    </cfRule>
  </conditionalFormatting>
  <conditionalFormatting sqref="AA105:AB105">
    <cfRule type="colorScale" priority="97">
      <colorScale>
        <cfvo type="num" val="-0.1"/>
        <cfvo type="num" val="0"/>
        <cfvo type="num" val="0.1"/>
        <color rgb="FFF8696B"/>
        <color rgb="FFFFEB84"/>
        <color rgb="FF63BE7B"/>
      </colorScale>
    </cfRule>
  </conditionalFormatting>
  <conditionalFormatting sqref="AA107:AB107">
    <cfRule type="colorScale" priority="96">
      <colorScale>
        <cfvo type="num" val="-0.1"/>
        <cfvo type="num" val="0"/>
        <cfvo type="num" val="0.1"/>
        <color rgb="FFF8696B"/>
        <color rgb="FFFFEB84"/>
        <color rgb="FF63BE7B"/>
      </colorScale>
    </cfRule>
  </conditionalFormatting>
  <conditionalFormatting sqref="AC100">
    <cfRule type="iconSet" priority="91">
      <iconSet iconSet="4Arrows">
        <cfvo type="percent" val="0"/>
        <cfvo type="num" val="-0.1"/>
        <cfvo type="num" val="0"/>
        <cfvo type="num" val="0.1"/>
      </iconSet>
    </cfRule>
  </conditionalFormatting>
  <conditionalFormatting sqref="AC102">
    <cfRule type="iconSet" priority="90">
      <iconSet iconSet="4Arrows">
        <cfvo type="percent" val="0"/>
        <cfvo type="num" val="-0.1"/>
        <cfvo type="num" val="0"/>
        <cfvo type="num" val="0.1"/>
      </iconSet>
    </cfRule>
  </conditionalFormatting>
  <conditionalFormatting sqref="AC105">
    <cfRule type="colorScale" priority="93">
      <colorScale>
        <cfvo type="num" val="-0.1"/>
        <cfvo type="num" val="0"/>
        <cfvo type="num" val="0.1"/>
        <color rgb="FFF8696B"/>
        <color rgb="FFFFEB84"/>
        <color rgb="FF63BE7B"/>
      </colorScale>
    </cfRule>
  </conditionalFormatting>
  <conditionalFormatting sqref="AC107">
    <cfRule type="colorScale" priority="92">
      <colorScale>
        <cfvo type="num" val="-0.1"/>
        <cfvo type="num" val="0"/>
        <cfvo type="num" val="0.1"/>
        <color rgb="FFF8696B"/>
        <color rgb="FFFFEB84"/>
        <color rgb="FF63BE7B"/>
      </colorScale>
    </cfRule>
  </conditionalFormatting>
  <dataValidations disablePrompts="1" count="1">
    <dataValidation type="list" allowBlank="1" showInputMessage="1" showErrorMessage="1" sqref="C2" xr:uid="{710CAE91-8FFB-4B4D-A79D-E42C735FC82B}">
      <formula1>$B$175:$B$176</formula1>
    </dataValidation>
  </dataValidations>
  <pageMargins left="0.70866141732283472" right="0.70866141732283472" top="0.74803149606299213" bottom="0.74803149606299213" header="0.31496062992125984" footer="0.31496062992125984"/>
  <pageSetup paperSize="8" scale="70" orientation="landscape" r:id="rId1"/>
  <headerFooter>
    <oddFooter>&amp;R_x000D_&amp;1#&amp;"Arial"&amp;10&amp;K000000 Confidential 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35DA-04F8-4489-A866-BE4A50A415A9}">
  <dimension ref="A9:N24"/>
  <sheetViews>
    <sheetView topLeftCell="A9" zoomScale="120" zoomScaleNormal="120" workbookViewId="0">
      <selection activeCell="C17" sqref="C17"/>
    </sheetView>
  </sheetViews>
  <sheetFormatPr baseColWidth="10" defaultColWidth="8.81640625" defaultRowHeight="12.5" x14ac:dyDescent="0.25"/>
  <cols>
    <col min="1" max="4" width="16.26953125" style="165" customWidth="1"/>
    <col min="5" max="5" width="7.54296875" style="165" customWidth="1"/>
    <col min="6" max="9" width="16.26953125" style="165" customWidth="1"/>
    <col min="10" max="10" width="6.7265625" style="165" customWidth="1"/>
    <col min="11" max="14" width="16.1796875" style="165" customWidth="1"/>
    <col min="15" max="250" width="8.81640625" style="165"/>
    <col min="251" max="254" width="16.26953125" style="165" customWidth="1"/>
    <col min="255" max="255" width="7.54296875" style="165" customWidth="1"/>
    <col min="256" max="259" width="16.26953125" style="165" customWidth="1"/>
    <col min="260" max="260" width="11" style="165" bestFit="1" customWidth="1"/>
    <col min="261" max="264" width="16.1796875" style="165" customWidth="1"/>
    <col min="265" max="506" width="8.81640625" style="165"/>
    <col min="507" max="510" width="16.26953125" style="165" customWidth="1"/>
    <col min="511" max="511" width="7.54296875" style="165" customWidth="1"/>
    <col min="512" max="515" width="16.26953125" style="165" customWidth="1"/>
    <col min="516" max="516" width="11" style="165" bestFit="1" customWidth="1"/>
    <col min="517" max="520" width="16.1796875" style="165" customWidth="1"/>
    <col min="521" max="762" width="8.81640625" style="165"/>
    <col min="763" max="766" width="16.26953125" style="165" customWidth="1"/>
    <col min="767" max="767" width="7.54296875" style="165" customWidth="1"/>
    <col min="768" max="771" width="16.26953125" style="165" customWidth="1"/>
    <col min="772" max="772" width="11" style="165" bestFit="1" customWidth="1"/>
    <col min="773" max="776" width="16.1796875" style="165" customWidth="1"/>
    <col min="777" max="1018" width="8.81640625" style="165"/>
    <col min="1019" max="1022" width="16.26953125" style="165" customWidth="1"/>
    <col min="1023" max="1023" width="7.54296875" style="165" customWidth="1"/>
    <col min="1024" max="1027" width="16.26953125" style="165" customWidth="1"/>
    <col min="1028" max="1028" width="11" style="165" bestFit="1" customWidth="1"/>
    <col min="1029" max="1032" width="16.1796875" style="165" customWidth="1"/>
    <col min="1033" max="1274" width="8.81640625" style="165"/>
    <col min="1275" max="1278" width="16.26953125" style="165" customWidth="1"/>
    <col min="1279" max="1279" width="7.54296875" style="165" customWidth="1"/>
    <col min="1280" max="1283" width="16.26953125" style="165" customWidth="1"/>
    <col min="1284" max="1284" width="11" style="165" bestFit="1" customWidth="1"/>
    <col min="1285" max="1288" width="16.1796875" style="165" customWidth="1"/>
    <col min="1289" max="1530" width="8.81640625" style="165"/>
    <col min="1531" max="1534" width="16.26953125" style="165" customWidth="1"/>
    <col min="1535" max="1535" width="7.54296875" style="165" customWidth="1"/>
    <col min="1536" max="1539" width="16.26953125" style="165" customWidth="1"/>
    <col min="1540" max="1540" width="11" style="165" bestFit="1" customWidth="1"/>
    <col min="1541" max="1544" width="16.1796875" style="165" customWidth="1"/>
    <col min="1545" max="1786" width="8.81640625" style="165"/>
    <col min="1787" max="1790" width="16.26953125" style="165" customWidth="1"/>
    <col min="1791" max="1791" width="7.54296875" style="165" customWidth="1"/>
    <col min="1792" max="1795" width="16.26953125" style="165" customWidth="1"/>
    <col min="1796" max="1796" width="11" style="165" bestFit="1" customWidth="1"/>
    <col min="1797" max="1800" width="16.1796875" style="165" customWidth="1"/>
    <col min="1801" max="2042" width="8.81640625" style="165"/>
    <col min="2043" max="2046" width="16.26953125" style="165" customWidth="1"/>
    <col min="2047" max="2047" width="7.54296875" style="165" customWidth="1"/>
    <col min="2048" max="2051" width="16.26953125" style="165" customWidth="1"/>
    <col min="2052" max="2052" width="11" style="165" bestFit="1" customWidth="1"/>
    <col min="2053" max="2056" width="16.1796875" style="165" customWidth="1"/>
    <col min="2057" max="2298" width="8.81640625" style="165"/>
    <col min="2299" max="2302" width="16.26953125" style="165" customWidth="1"/>
    <col min="2303" max="2303" width="7.54296875" style="165" customWidth="1"/>
    <col min="2304" max="2307" width="16.26953125" style="165" customWidth="1"/>
    <col min="2308" max="2308" width="11" style="165" bestFit="1" customWidth="1"/>
    <col min="2309" max="2312" width="16.1796875" style="165" customWidth="1"/>
    <col min="2313" max="2554" width="8.81640625" style="165"/>
    <col min="2555" max="2558" width="16.26953125" style="165" customWidth="1"/>
    <col min="2559" max="2559" width="7.54296875" style="165" customWidth="1"/>
    <col min="2560" max="2563" width="16.26953125" style="165" customWidth="1"/>
    <col min="2564" max="2564" width="11" style="165" bestFit="1" customWidth="1"/>
    <col min="2565" max="2568" width="16.1796875" style="165" customWidth="1"/>
    <col min="2569" max="2810" width="8.81640625" style="165"/>
    <col min="2811" max="2814" width="16.26953125" style="165" customWidth="1"/>
    <col min="2815" max="2815" width="7.54296875" style="165" customWidth="1"/>
    <col min="2816" max="2819" width="16.26953125" style="165" customWidth="1"/>
    <col min="2820" max="2820" width="11" style="165" bestFit="1" customWidth="1"/>
    <col min="2821" max="2824" width="16.1796875" style="165" customWidth="1"/>
    <col min="2825" max="3066" width="8.81640625" style="165"/>
    <col min="3067" max="3070" width="16.26953125" style="165" customWidth="1"/>
    <col min="3071" max="3071" width="7.54296875" style="165" customWidth="1"/>
    <col min="3072" max="3075" width="16.26953125" style="165" customWidth="1"/>
    <col min="3076" max="3076" width="11" style="165" bestFit="1" customWidth="1"/>
    <col min="3077" max="3080" width="16.1796875" style="165" customWidth="1"/>
    <col min="3081" max="3322" width="8.81640625" style="165"/>
    <col min="3323" max="3326" width="16.26953125" style="165" customWidth="1"/>
    <col min="3327" max="3327" width="7.54296875" style="165" customWidth="1"/>
    <col min="3328" max="3331" width="16.26953125" style="165" customWidth="1"/>
    <col min="3332" max="3332" width="11" style="165" bestFit="1" customWidth="1"/>
    <col min="3333" max="3336" width="16.1796875" style="165" customWidth="1"/>
    <col min="3337" max="3578" width="8.81640625" style="165"/>
    <col min="3579" max="3582" width="16.26953125" style="165" customWidth="1"/>
    <col min="3583" max="3583" width="7.54296875" style="165" customWidth="1"/>
    <col min="3584" max="3587" width="16.26953125" style="165" customWidth="1"/>
    <col min="3588" max="3588" width="11" style="165" bestFit="1" customWidth="1"/>
    <col min="3589" max="3592" width="16.1796875" style="165" customWidth="1"/>
    <col min="3593" max="3834" width="8.81640625" style="165"/>
    <col min="3835" max="3838" width="16.26953125" style="165" customWidth="1"/>
    <col min="3839" max="3839" width="7.54296875" style="165" customWidth="1"/>
    <col min="3840" max="3843" width="16.26953125" style="165" customWidth="1"/>
    <col min="3844" max="3844" width="11" style="165" bestFit="1" customWidth="1"/>
    <col min="3845" max="3848" width="16.1796875" style="165" customWidth="1"/>
    <col min="3849" max="4090" width="8.81640625" style="165"/>
    <col min="4091" max="4094" width="16.26953125" style="165" customWidth="1"/>
    <col min="4095" max="4095" width="7.54296875" style="165" customWidth="1"/>
    <col min="4096" max="4099" width="16.26953125" style="165" customWidth="1"/>
    <col min="4100" max="4100" width="11" style="165" bestFit="1" customWidth="1"/>
    <col min="4101" max="4104" width="16.1796875" style="165" customWidth="1"/>
    <col min="4105" max="4346" width="8.81640625" style="165"/>
    <col min="4347" max="4350" width="16.26953125" style="165" customWidth="1"/>
    <col min="4351" max="4351" width="7.54296875" style="165" customWidth="1"/>
    <col min="4352" max="4355" width="16.26953125" style="165" customWidth="1"/>
    <col min="4356" max="4356" width="11" style="165" bestFit="1" customWidth="1"/>
    <col min="4357" max="4360" width="16.1796875" style="165" customWidth="1"/>
    <col min="4361" max="4602" width="8.81640625" style="165"/>
    <col min="4603" max="4606" width="16.26953125" style="165" customWidth="1"/>
    <col min="4607" max="4607" width="7.54296875" style="165" customWidth="1"/>
    <col min="4608" max="4611" width="16.26953125" style="165" customWidth="1"/>
    <col min="4612" max="4612" width="11" style="165" bestFit="1" customWidth="1"/>
    <col min="4613" max="4616" width="16.1796875" style="165" customWidth="1"/>
    <col min="4617" max="4858" width="8.81640625" style="165"/>
    <col min="4859" max="4862" width="16.26953125" style="165" customWidth="1"/>
    <col min="4863" max="4863" width="7.54296875" style="165" customWidth="1"/>
    <col min="4864" max="4867" width="16.26953125" style="165" customWidth="1"/>
    <col min="4868" max="4868" width="11" style="165" bestFit="1" customWidth="1"/>
    <col min="4869" max="4872" width="16.1796875" style="165" customWidth="1"/>
    <col min="4873" max="5114" width="8.81640625" style="165"/>
    <col min="5115" max="5118" width="16.26953125" style="165" customWidth="1"/>
    <col min="5119" max="5119" width="7.54296875" style="165" customWidth="1"/>
    <col min="5120" max="5123" width="16.26953125" style="165" customWidth="1"/>
    <col min="5124" max="5124" width="11" style="165" bestFit="1" customWidth="1"/>
    <col min="5125" max="5128" width="16.1796875" style="165" customWidth="1"/>
    <col min="5129" max="5370" width="8.81640625" style="165"/>
    <col min="5371" max="5374" width="16.26953125" style="165" customWidth="1"/>
    <col min="5375" max="5375" width="7.54296875" style="165" customWidth="1"/>
    <col min="5376" max="5379" width="16.26953125" style="165" customWidth="1"/>
    <col min="5380" max="5380" width="11" style="165" bestFit="1" customWidth="1"/>
    <col min="5381" max="5384" width="16.1796875" style="165" customWidth="1"/>
    <col min="5385" max="5626" width="8.81640625" style="165"/>
    <col min="5627" max="5630" width="16.26953125" style="165" customWidth="1"/>
    <col min="5631" max="5631" width="7.54296875" style="165" customWidth="1"/>
    <col min="5632" max="5635" width="16.26953125" style="165" customWidth="1"/>
    <col min="5636" max="5636" width="11" style="165" bestFit="1" customWidth="1"/>
    <col min="5637" max="5640" width="16.1796875" style="165" customWidth="1"/>
    <col min="5641" max="5882" width="8.81640625" style="165"/>
    <col min="5883" max="5886" width="16.26953125" style="165" customWidth="1"/>
    <col min="5887" max="5887" width="7.54296875" style="165" customWidth="1"/>
    <col min="5888" max="5891" width="16.26953125" style="165" customWidth="1"/>
    <col min="5892" max="5892" width="11" style="165" bestFit="1" customWidth="1"/>
    <col min="5893" max="5896" width="16.1796875" style="165" customWidth="1"/>
    <col min="5897" max="6138" width="8.81640625" style="165"/>
    <col min="6139" max="6142" width="16.26953125" style="165" customWidth="1"/>
    <col min="6143" max="6143" width="7.54296875" style="165" customWidth="1"/>
    <col min="6144" max="6147" width="16.26953125" style="165" customWidth="1"/>
    <col min="6148" max="6148" width="11" style="165" bestFit="1" customWidth="1"/>
    <col min="6149" max="6152" width="16.1796875" style="165" customWidth="1"/>
    <col min="6153" max="6394" width="8.81640625" style="165"/>
    <col min="6395" max="6398" width="16.26953125" style="165" customWidth="1"/>
    <col min="6399" max="6399" width="7.54296875" style="165" customWidth="1"/>
    <col min="6400" max="6403" width="16.26953125" style="165" customWidth="1"/>
    <col min="6404" max="6404" width="11" style="165" bestFit="1" customWidth="1"/>
    <col min="6405" max="6408" width="16.1796875" style="165" customWidth="1"/>
    <col min="6409" max="6650" width="8.81640625" style="165"/>
    <col min="6651" max="6654" width="16.26953125" style="165" customWidth="1"/>
    <col min="6655" max="6655" width="7.54296875" style="165" customWidth="1"/>
    <col min="6656" max="6659" width="16.26953125" style="165" customWidth="1"/>
    <col min="6660" max="6660" width="11" style="165" bestFit="1" customWidth="1"/>
    <col min="6661" max="6664" width="16.1796875" style="165" customWidth="1"/>
    <col min="6665" max="6906" width="8.81640625" style="165"/>
    <col min="6907" max="6910" width="16.26953125" style="165" customWidth="1"/>
    <col min="6911" max="6911" width="7.54296875" style="165" customWidth="1"/>
    <col min="6912" max="6915" width="16.26953125" style="165" customWidth="1"/>
    <col min="6916" max="6916" width="11" style="165" bestFit="1" customWidth="1"/>
    <col min="6917" max="6920" width="16.1796875" style="165" customWidth="1"/>
    <col min="6921" max="7162" width="8.81640625" style="165"/>
    <col min="7163" max="7166" width="16.26953125" style="165" customWidth="1"/>
    <col min="7167" max="7167" width="7.54296875" style="165" customWidth="1"/>
    <col min="7168" max="7171" width="16.26953125" style="165" customWidth="1"/>
    <col min="7172" max="7172" width="11" style="165" bestFit="1" customWidth="1"/>
    <col min="7173" max="7176" width="16.1796875" style="165" customWidth="1"/>
    <col min="7177" max="7418" width="8.81640625" style="165"/>
    <col min="7419" max="7422" width="16.26953125" style="165" customWidth="1"/>
    <col min="7423" max="7423" width="7.54296875" style="165" customWidth="1"/>
    <col min="7424" max="7427" width="16.26953125" style="165" customWidth="1"/>
    <col min="7428" max="7428" width="11" style="165" bestFit="1" customWidth="1"/>
    <col min="7429" max="7432" width="16.1796875" style="165" customWidth="1"/>
    <col min="7433" max="7674" width="8.81640625" style="165"/>
    <col min="7675" max="7678" width="16.26953125" style="165" customWidth="1"/>
    <col min="7679" max="7679" width="7.54296875" style="165" customWidth="1"/>
    <col min="7680" max="7683" width="16.26953125" style="165" customWidth="1"/>
    <col min="7684" max="7684" width="11" style="165" bestFit="1" customWidth="1"/>
    <col min="7685" max="7688" width="16.1796875" style="165" customWidth="1"/>
    <col min="7689" max="7930" width="8.81640625" style="165"/>
    <col min="7931" max="7934" width="16.26953125" style="165" customWidth="1"/>
    <col min="7935" max="7935" width="7.54296875" style="165" customWidth="1"/>
    <col min="7936" max="7939" width="16.26953125" style="165" customWidth="1"/>
    <col min="7940" max="7940" width="11" style="165" bestFit="1" customWidth="1"/>
    <col min="7941" max="7944" width="16.1796875" style="165" customWidth="1"/>
    <col min="7945" max="8186" width="8.81640625" style="165"/>
    <col min="8187" max="8190" width="16.26953125" style="165" customWidth="1"/>
    <col min="8191" max="8191" width="7.54296875" style="165" customWidth="1"/>
    <col min="8192" max="8195" width="16.26953125" style="165" customWidth="1"/>
    <col min="8196" max="8196" width="11" style="165" bestFit="1" customWidth="1"/>
    <col min="8197" max="8200" width="16.1796875" style="165" customWidth="1"/>
    <col min="8201" max="8442" width="8.81640625" style="165"/>
    <col min="8443" max="8446" width="16.26953125" style="165" customWidth="1"/>
    <col min="8447" max="8447" width="7.54296875" style="165" customWidth="1"/>
    <col min="8448" max="8451" width="16.26953125" style="165" customWidth="1"/>
    <col min="8452" max="8452" width="11" style="165" bestFit="1" customWidth="1"/>
    <col min="8453" max="8456" width="16.1796875" style="165" customWidth="1"/>
    <col min="8457" max="8698" width="8.81640625" style="165"/>
    <col min="8699" max="8702" width="16.26953125" style="165" customWidth="1"/>
    <col min="8703" max="8703" width="7.54296875" style="165" customWidth="1"/>
    <col min="8704" max="8707" width="16.26953125" style="165" customWidth="1"/>
    <col min="8708" max="8708" width="11" style="165" bestFit="1" customWidth="1"/>
    <col min="8709" max="8712" width="16.1796875" style="165" customWidth="1"/>
    <col min="8713" max="8954" width="8.81640625" style="165"/>
    <col min="8955" max="8958" width="16.26953125" style="165" customWidth="1"/>
    <col min="8959" max="8959" width="7.54296875" style="165" customWidth="1"/>
    <col min="8960" max="8963" width="16.26953125" style="165" customWidth="1"/>
    <col min="8964" max="8964" width="11" style="165" bestFit="1" customWidth="1"/>
    <col min="8965" max="8968" width="16.1796875" style="165" customWidth="1"/>
    <col min="8969" max="9210" width="8.81640625" style="165"/>
    <col min="9211" max="9214" width="16.26953125" style="165" customWidth="1"/>
    <col min="9215" max="9215" width="7.54296875" style="165" customWidth="1"/>
    <col min="9216" max="9219" width="16.26953125" style="165" customWidth="1"/>
    <col min="9220" max="9220" width="11" style="165" bestFit="1" customWidth="1"/>
    <col min="9221" max="9224" width="16.1796875" style="165" customWidth="1"/>
    <col min="9225" max="9466" width="8.81640625" style="165"/>
    <col min="9467" max="9470" width="16.26953125" style="165" customWidth="1"/>
    <col min="9471" max="9471" width="7.54296875" style="165" customWidth="1"/>
    <col min="9472" max="9475" width="16.26953125" style="165" customWidth="1"/>
    <col min="9476" max="9476" width="11" style="165" bestFit="1" customWidth="1"/>
    <col min="9477" max="9480" width="16.1796875" style="165" customWidth="1"/>
    <col min="9481" max="9722" width="8.81640625" style="165"/>
    <col min="9723" max="9726" width="16.26953125" style="165" customWidth="1"/>
    <col min="9727" max="9727" width="7.54296875" style="165" customWidth="1"/>
    <col min="9728" max="9731" width="16.26953125" style="165" customWidth="1"/>
    <col min="9732" max="9732" width="11" style="165" bestFit="1" customWidth="1"/>
    <col min="9733" max="9736" width="16.1796875" style="165" customWidth="1"/>
    <col min="9737" max="9978" width="8.81640625" style="165"/>
    <col min="9979" max="9982" width="16.26953125" style="165" customWidth="1"/>
    <col min="9983" max="9983" width="7.54296875" style="165" customWidth="1"/>
    <col min="9984" max="9987" width="16.26953125" style="165" customWidth="1"/>
    <col min="9988" max="9988" width="11" style="165" bestFit="1" customWidth="1"/>
    <col min="9989" max="9992" width="16.1796875" style="165" customWidth="1"/>
    <col min="9993" max="10234" width="8.81640625" style="165"/>
    <col min="10235" max="10238" width="16.26953125" style="165" customWidth="1"/>
    <col min="10239" max="10239" width="7.54296875" style="165" customWidth="1"/>
    <col min="10240" max="10243" width="16.26953125" style="165" customWidth="1"/>
    <col min="10244" max="10244" width="11" style="165" bestFit="1" customWidth="1"/>
    <col min="10245" max="10248" width="16.1796875" style="165" customWidth="1"/>
    <col min="10249" max="10490" width="8.81640625" style="165"/>
    <col min="10491" max="10494" width="16.26953125" style="165" customWidth="1"/>
    <col min="10495" max="10495" width="7.54296875" style="165" customWidth="1"/>
    <col min="10496" max="10499" width="16.26953125" style="165" customWidth="1"/>
    <col min="10500" max="10500" width="11" style="165" bestFit="1" customWidth="1"/>
    <col min="10501" max="10504" width="16.1796875" style="165" customWidth="1"/>
    <col min="10505" max="10746" width="8.81640625" style="165"/>
    <col min="10747" max="10750" width="16.26953125" style="165" customWidth="1"/>
    <col min="10751" max="10751" width="7.54296875" style="165" customWidth="1"/>
    <col min="10752" max="10755" width="16.26953125" style="165" customWidth="1"/>
    <col min="10756" max="10756" width="11" style="165" bestFit="1" customWidth="1"/>
    <col min="10757" max="10760" width="16.1796875" style="165" customWidth="1"/>
    <col min="10761" max="11002" width="8.81640625" style="165"/>
    <col min="11003" max="11006" width="16.26953125" style="165" customWidth="1"/>
    <col min="11007" max="11007" width="7.54296875" style="165" customWidth="1"/>
    <col min="11008" max="11011" width="16.26953125" style="165" customWidth="1"/>
    <col min="11012" max="11012" width="11" style="165" bestFit="1" customWidth="1"/>
    <col min="11013" max="11016" width="16.1796875" style="165" customWidth="1"/>
    <col min="11017" max="11258" width="8.81640625" style="165"/>
    <col min="11259" max="11262" width="16.26953125" style="165" customWidth="1"/>
    <col min="11263" max="11263" width="7.54296875" style="165" customWidth="1"/>
    <col min="11264" max="11267" width="16.26953125" style="165" customWidth="1"/>
    <col min="11268" max="11268" width="11" style="165" bestFit="1" customWidth="1"/>
    <col min="11269" max="11272" width="16.1796875" style="165" customWidth="1"/>
    <col min="11273" max="11514" width="8.81640625" style="165"/>
    <col min="11515" max="11518" width="16.26953125" style="165" customWidth="1"/>
    <col min="11519" max="11519" width="7.54296875" style="165" customWidth="1"/>
    <col min="11520" max="11523" width="16.26953125" style="165" customWidth="1"/>
    <col min="11524" max="11524" width="11" style="165" bestFit="1" customWidth="1"/>
    <col min="11525" max="11528" width="16.1796875" style="165" customWidth="1"/>
    <col min="11529" max="11770" width="8.81640625" style="165"/>
    <col min="11771" max="11774" width="16.26953125" style="165" customWidth="1"/>
    <col min="11775" max="11775" width="7.54296875" style="165" customWidth="1"/>
    <col min="11776" max="11779" width="16.26953125" style="165" customWidth="1"/>
    <col min="11780" max="11780" width="11" style="165" bestFit="1" customWidth="1"/>
    <col min="11781" max="11784" width="16.1796875" style="165" customWidth="1"/>
    <col min="11785" max="12026" width="8.81640625" style="165"/>
    <col min="12027" max="12030" width="16.26953125" style="165" customWidth="1"/>
    <col min="12031" max="12031" width="7.54296875" style="165" customWidth="1"/>
    <col min="12032" max="12035" width="16.26953125" style="165" customWidth="1"/>
    <col min="12036" max="12036" width="11" style="165" bestFit="1" customWidth="1"/>
    <col min="12037" max="12040" width="16.1796875" style="165" customWidth="1"/>
    <col min="12041" max="12282" width="8.81640625" style="165"/>
    <col min="12283" max="12286" width="16.26953125" style="165" customWidth="1"/>
    <col min="12287" max="12287" width="7.54296875" style="165" customWidth="1"/>
    <col min="12288" max="12291" width="16.26953125" style="165" customWidth="1"/>
    <col min="12292" max="12292" width="11" style="165" bestFit="1" customWidth="1"/>
    <col min="12293" max="12296" width="16.1796875" style="165" customWidth="1"/>
    <col min="12297" max="12538" width="8.81640625" style="165"/>
    <col min="12539" max="12542" width="16.26953125" style="165" customWidth="1"/>
    <col min="12543" max="12543" width="7.54296875" style="165" customWidth="1"/>
    <col min="12544" max="12547" width="16.26953125" style="165" customWidth="1"/>
    <col min="12548" max="12548" width="11" style="165" bestFit="1" customWidth="1"/>
    <col min="12549" max="12552" width="16.1796875" style="165" customWidth="1"/>
    <col min="12553" max="12794" width="8.81640625" style="165"/>
    <col min="12795" max="12798" width="16.26953125" style="165" customWidth="1"/>
    <col min="12799" max="12799" width="7.54296875" style="165" customWidth="1"/>
    <col min="12800" max="12803" width="16.26953125" style="165" customWidth="1"/>
    <col min="12804" max="12804" width="11" style="165" bestFit="1" customWidth="1"/>
    <col min="12805" max="12808" width="16.1796875" style="165" customWidth="1"/>
    <col min="12809" max="13050" width="8.81640625" style="165"/>
    <col min="13051" max="13054" width="16.26953125" style="165" customWidth="1"/>
    <col min="13055" max="13055" width="7.54296875" style="165" customWidth="1"/>
    <col min="13056" max="13059" width="16.26953125" style="165" customWidth="1"/>
    <col min="13060" max="13060" width="11" style="165" bestFit="1" customWidth="1"/>
    <col min="13061" max="13064" width="16.1796875" style="165" customWidth="1"/>
    <col min="13065" max="13306" width="8.81640625" style="165"/>
    <col min="13307" max="13310" width="16.26953125" style="165" customWidth="1"/>
    <col min="13311" max="13311" width="7.54296875" style="165" customWidth="1"/>
    <col min="13312" max="13315" width="16.26953125" style="165" customWidth="1"/>
    <col min="13316" max="13316" width="11" style="165" bestFit="1" customWidth="1"/>
    <col min="13317" max="13320" width="16.1796875" style="165" customWidth="1"/>
    <col min="13321" max="13562" width="8.81640625" style="165"/>
    <col min="13563" max="13566" width="16.26953125" style="165" customWidth="1"/>
    <col min="13567" max="13567" width="7.54296875" style="165" customWidth="1"/>
    <col min="13568" max="13571" width="16.26953125" style="165" customWidth="1"/>
    <col min="13572" max="13572" width="11" style="165" bestFit="1" customWidth="1"/>
    <col min="13573" max="13576" width="16.1796875" style="165" customWidth="1"/>
    <col min="13577" max="13818" width="8.81640625" style="165"/>
    <col min="13819" max="13822" width="16.26953125" style="165" customWidth="1"/>
    <col min="13823" max="13823" width="7.54296875" style="165" customWidth="1"/>
    <col min="13824" max="13827" width="16.26953125" style="165" customWidth="1"/>
    <col min="13828" max="13828" width="11" style="165" bestFit="1" customWidth="1"/>
    <col min="13829" max="13832" width="16.1796875" style="165" customWidth="1"/>
    <col min="13833" max="14074" width="8.81640625" style="165"/>
    <col min="14075" max="14078" width="16.26953125" style="165" customWidth="1"/>
    <col min="14079" max="14079" width="7.54296875" style="165" customWidth="1"/>
    <col min="14080" max="14083" width="16.26953125" style="165" customWidth="1"/>
    <col min="14084" max="14084" width="11" style="165" bestFit="1" customWidth="1"/>
    <col min="14085" max="14088" width="16.1796875" style="165" customWidth="1"/>
    <col min="14089" max="14330" width="8.81640625" style="165"/>
    <col min="14331" max="14334" width="16.26953125" style="165" customWidth="1"/>
    <col min="14335" max="14335" width="7.54296875" style="165" customWidth="1"/>
    <col min="14336" max="14339" width="16.26953125" style="165" customWidth="1"/>
    <col min="14340" max="14340" width="11" style="165" bestFit="1" customWidth="1"/>
    <col min="14341" max="14344" width="16.1796875" style="165" customWidth="1"/>
    <col min="14345" max="14586" width="8.81640625" style="165"/>
    <col min="14587" max="14590" width="16.26953125" style="165" customWidth="1"/>
    <col min="14591" max="14591" width="7.54296875" style="165" customWidth="1"/>
    <col min="14592" max="14595" width="16.26953125" style="165" customWidth="1"/>
    <col min="14596" max="14596" width="11" style="165" bestFit="1" customWidth="1"/>
    <col min="14597" max="14600" width="16.1796875" style="165" customWidth="1"/>
    <col min="14601" max="14842" width="8.81640625" style="165"/>
    <col min="14843" max="14846" width="16.26953125" style="165" customWidth="1"/>
    <col min="14847" max="14847" width="7.54296875" style="165" customWidth="1"/>
    <col min="14848" max="14851" width="16.26953125" style="165" customWidth="1"/>
    <col min="14852" max="14852" width="11" style="165" bestFit="1" customWidth="1"/>
    <col min="14853" max="14856" width="16.1796875" style="165" customWidth="1"/>
    <col min="14857" max="15098" width="8.81640625" style="165"/>
    <col min="15099" max="15102" width="16.26953125" style="165" customWidth="1"/>
    <col min="15103" max="15103" width="7.54296875" style="165" customWidth="1"/>
    <col min="15104" max="15107" width="16.26953125" style="165" customWidth="1"/>
    <col min="15108" max="15108" width="11" style="165" bestFit="1" customWidth="1"/>
    <col min="15109" max="15112" width="16.1796875" style="165" customWidth="1"/>
    <col min="15113" max="15354" width="8.81640625" style="165"/>
    <col min="15355" max="15358" width="16.26953125" style="165" customWidth="1"/>
    <col min="15359" max="15359" width="7.54296875" style="165" customWidth="1"/>
    <col min="15360" max="15363" width="16.26953125" style="165" customWidth="1"/>
    <col min="15364" max="15364" width="11" style="165" bestFit="1" customWidth="1"/>
    <col min="15365" max="15368" width="16.1796875" style="165" customWidth="1"/>
    <col min="15369" max="15610" width="8.81640625" style="165"/>
    <col min="15611" max="15614" width="16.26953125" style="165" customWidth="1"/>
    <col min="15615" max="15615" width="7.54296875" style="165" customWidth="1"/>
    <col min="15616" max="15619" width="16.26953125" style="165" customWidth="1"/>
    <col min="15620" max="15620" width="11" style="165" bestFit="1" customWidth="1"/>
    <col min="15621" max="15624" width="16.1796875" style="165" customWidth="1"/>
    <col min="15625" max="15866" width="8.81640625" style="165"/>
    <col min="15867" max="15870" width="16.26953125" style="165" customWidth="1"/>
    <col min="15871" max="15871" width="7.54296875" style="165" customWidth="1"/>
    <col min="15872" max="15875" width="16.26953125" style="165" customWidth="1"/>
    <col min="15876" max="15876" width="11" style="165" bestFit="1" customWidth="1"/>
    <col min="15877" max="15880" width="16.1796875" style="165" customWidth="1"/>
    <col min="15881" max="16122" width="8.81640625" style="165"/>
    <col min="16123" max="16126" width="16.26953125" style="165" customWidth="1"/>
    <col min="16127" max="16127" width="7.54296875" style="165" customWidth="1"/>
    <col min="16128" max="16131" width="16.26953125" style="165" customWidth="1"/>
    <col min="16132" max="16132" width="11" style="165" bestFit="1" customWidth="1"/>
    <col min="16133" max="16136" width="16.1796875" style="165" customWidth="1"/>
    <col min="16137" max="16384" width="8.81640625" style="165"/>
  </cols>
  <sheetData>
    <row r="9" spans="1:14" ht="33" customHeight="1" x14ac:dyDescent="0.3">
      <c r="A9" s="395" t="str">
        <f>'Bilan -7°C'!E7</f>
        <v xml:space="preserve">Cycle 1 </v>
      </c>
      <c r="B9" s="396"/>
      <c r="C9" s="397"/>
      <c r="D9" s="397"/>
      <c r="F9" s="398" t="str">
        <f>'Bilan -7°C'!F7</f>
        <v>Cycle 2</v>
      </c>
      <c r="G9" s="399"/>
      <c r="H9" s="400"/>
      <c r="I9" s="400"/>
      <c r="K9" s="401" t="str">
        <f>'Bilan -7°C'!G7</f>
        <v>Cycle 3</v>
      </c>
      <c r="L9" s="402"/>
      <c r="M9" s="403"/>
      <c r="N9" s="403"/>
    </row>
    <row r="10" spans="1:14" ht="42" x14ac:dyDescent="0.25">
      <c r="A10" s="166" t="s">
        <v>126</v>
      </c>
      <c r="B10" s="167" t="s">
        <v>161</v>
      </c>
      <c r="C10" s="167" t="s">
        <v>162</v>
      </c>
      <c r="D10" s="166" t="s">
        <v>129</v>
      </c>
      <c r="F10" s="166" t="s">
        <v>126</v>
      </c>
      <c r="G10" s="167" t="s">
        <v>161</v>
      </c>
      <c r="H10" s="167" t="s">
        <v>162</v>
      </c>
      <c r="I10" s="166" t="s">
        <v>129</v>
      </c>
      <c r="K10" s="166" t="s">
        <v>126</v>
      </c>
      <c r="L10" s="167" t="s">
        <v>161</v>
      </c>
      <c r="M10" s="167" t="s">
        <v>162</v>
      </c>
      <c r="N10" s="166" t="s">
        <v>129</v>
      </c>
    </row>
    <row r="11" spans="1:14" x14ac:dyDescent="0.25">
      <c r="A11" s="168">
        <v>0</v>
      </c>
      <c r="B11" s="169">
        <f>'Bilan -7°C'!J95</f>
        <v>0</v>
      </c>
      <c r="C11" s="169">
        <f>'Bilan -7°C'!J94</f>
        <v>0</v>
      </c>
      <c r="D11" s="169">
        <f>'Bilan -7°C'!C92</f>
        <v>250</v>
      </c>
      <c r="F11" s="168">
        <v>0</v>
      </c>
      <c r="G11" s="169">
        <f>'Bilan -7°C'!R95</f>
        <v>0</v>
      </c>
      <c r="H11" s="169">
        <f>'Bilan -7°C'!R94</f>
        <v>0</v>
      </c>
      <c r="I11" s="169">
        <f>'Bilan -7°C'!$D$92</f>
        <v>250</v>
      </c>
      <c r="K11" s="168">
        <v>0</v>
      </c>
      <c r="L11" s="169">
        <f>'Bilan -7°C'!Y95</f>
        <v>0</v>
      </c>
      <c r="M11" s="169">
        <f>'Bilan -7°C'!Y94</f>
        <v>0</v>
      </c>
      <c r="N11" s="169">
        <f>'Bilan -7°C'!$D$92</f>
        <v>250</v>
      </c>
    </row>
    <row r="12" spans="1:14" x14ac:dyDescent="0.25">
      <c r="A12" s="168">
        <v>1.67</v>
      </c>
      <c r="B12" s="169">
        <f>B11</f>
        <v>0</v>
      </c>
      <c r="C12" s="169">
        <f>C11</f>
        <v>0</v>
      </c>
      <c r="D12" s="169">
        <f>D11</f>
        <v>250</v>
      </c>
      <c r="F12" s="168">
        <v>5</v>
      </c>
      <c r="G12" s="169">
        <f>G11</f>
        <v>0</v>
      </c>
      <c r="H12" s="169">
        <f>H11</f>
        <v>0</v>
      </c>
      <c r="I12" s="169">
        <f>'Bilan -7°C'!$D$92</f>
        <v>250</v>
      </c>
      <c r="K12" s="168">
        <v>5</v>
      </c>
      <c r="L12" s="169">
        <f>L11</f>
        <v>0</v>
      </c>
      <c r="M12" s="169">
        <f>M11</f>
        <v>0</v>
      </c>
      <c r="N12" s="169">
        <f>'Bilan -7°C'!$D$92</f>
        <v>250</v>
      </c>
    </row>
    <row r="13" spans="1:14" x14ac:dyDescent="0.25">
      <c r="A13" s="168">
        <v>1.67</v>
      </c>
      <c r="B13" s="169">
        <f>'Bilan -7°C'!K95</f>
        <v>0</v>
      </c>
      <c r="C13" s="169">
        <f>'Bilan -7°C'!K94</f>
        <v>0</v>
      </c>
      <c r="D13" s="169">
        <f>D11</f>
        <v>250</v>
      </c>
      <c r="F13" s="169">
        <v>5</v>
      </c>
      <c r="G13" s="169">
        <f>'Bilan -7°C'!S95</f>
        <v>0</v>
      </c>
      <c r="H13" s="169">
        <f>'Bilan -7°C'!S94</f>
        <v>0</v>
      </c>
      <c r="I13" s="169">
        <f>'Bilan -7°C'!$D$92</f>
        <v>250</v>
      </c>
      <c r="K13" s="168">
        <v>5</v>
      </c>
      <c r="L13" s="169">
        <f>'Bilan -7°C'!Z95</f>
        <v>0</v>
      </c>
      <c r="M13" s="169">
        <f>'Bilan -7°C'!Z94</f>
        <v>0</v>
      </c>
      <c r="N13" s="169">
        <f>'Bilan -7°C'!$D$92</f>
        <v>250</v>
      </c>
    </row>
    <row r="14" spans="1:14" x14ac:dyDescent="0.25">
      <c r="A14" s="169">
        <v>4</v>
      </c>
      <c r="B14" s="169">
        <f>B13</f>
        <v>0</v>
      </c>
      <c r="C14" s="169">
        <f>C13</f>
        <v>0</v>
      </c>
      <c r="D14" s="169">
        <f>D12</f>
        <v>250</v>
      </c>
      <c r="F14" s="169">
        <v>7</v>
      </c>
      <c r="G14" s="169">
        <f>G13</f>
        <v>0</v>
      </c>
      <c r="H14" s="169">
        <f>H13</f>
        <v>0</v>
      </c>
      <c r="I14" s="169">
        <f>'Bilan -7°C'!$D$92</f>
        <v>250</v>
      </c>
      <c r="K14" s="168">
        <v>7</v>
      </c>
      <c r="L14" s="169">
        <f>L13</f>
        <v>0</v>
      </c>
      <c r="M14" s="169">
        <f>M13</f>
        <v>0</v>
      </c>
      <c r="N14" s="169">
        <f>'Bilan -7°C'!$D$92</f>
        <v>250</v>
      </c>
    </row>
    <row r="15" spans="1:14" x14ac:dyDescent="0.25">
      <c r="A15" s="168">
        <v>4</v>
      </c>
      <c r="B15" s="169">
        <f>'Bilan -7°C'!L95</f>
        <v>0</v>
      </c>
      <c r="C15" s="169">
        <f>'Bilan -7°C'!L94</f>
        <v>0</v>
      </c>
      <c r="D15" s="169">
        <f>D11</f>
        <v>250</v>
      </c>
      <c r="F15" s="169">
        <v>7</v>
      </c>
      <c r="G15" s="169">
        <f>'Bilan -7°C'!T95</f>
        <v>0</v>
      </c>
      <c r="H15" s="169">
        <f>'Bilan -7°C'!T94</f>
        <v>0</v>
      </c>
      <c r="I15" s="169">
        <f>'Bilan -7°C'!$D$92</f>
        <v>250</v>
      </c>
      <c r="K15" s="168">
        <v>7</v>
      </c>
      <c r="L15" s="169">
        <f>'Bilan -7°C'!AA95</f>
        <v>0</v>
      </c>
      <c r="M15" s="169">
        <f>'Bilan -7°C'!AA94</f>
        <v>0</v>
      </c>
      <c r="N15" s="169">
        <f>'Bilan -7°C'!$D$92</f>
        <v>250</v>
      </c>
    </row>
    <row r="16" spans="1:14" x14ac:dyDescent="0.25">
      <c r="A16" s="169">
        <v>7</v>
      </c>
      <c r="B16" s="169">
        <f>B15</f>
        <v>0</v>
      </c>
      <c r="C16" s="169">
        <f>C15</f>
        <v>0</v>
      </c>
      <c r="D16" s="169">
        <f>D11</f>
        <v>250</v>
      </c>
      <c r="F16" s="168">
        <v>8.16</v>
      </c>
      <c r="G16" s="169">
        <f>G15</f>
        <v>0</v>
      </c>
      <c r="H16" s="169">
        <f>H15</f>
        <v>0</v>
      </c>
      <c r="I16" s="169">
        <f>'Bilan -7°C'!$D$92</f>
        <v>250</v>
      </c>
      <c r="K16" s="168">
        <v>8.16</v>
      </c>
      <c r="L16" s="169">
        <f>L15</f>
        <v>0</v>
      </c>
      <c r="M16" s="169">
        <f>M15</f>
        <v>0</v>
      </c>
      <c r="N16" s="169">
        <f>'Bilan -7°C'!$D$92</f>
        <v>250</v>
      </c>
    </row>
    <row r="17" spans="1:14" x14ac:dyDescent="0.25">
      <c r="A17" s="169">
        <v>7</v>
      </c>
      <c r="B17" s="169">
        <f>'Bilan -7°C'!M95</f>
        <v>0</v>
      </c>
      <c r="C17" s="169">
        <f>'Bilan -7°C'!M94</f>
        <v>0</v>
      </c>
      <c r="D17" s="169">
        <f>D11</f>
        <v>250</v>
      </c>
      <c r="F17" s="168">
        <v>8.16</v>
      </c>
      <c r="G17" s="169">
        <f>'Bilan -7°C'!U95</f>
        <v>0</v>
      </c>
      <c r="H17" s="169">
        <f>'Bilan -7°C'!U94</f>
        <v>0</v>
      </c>
      <c r="I17" s="169">
        <f>'Bilan -7°C'!$D$92</f>
        <v>250</v>
      </c>
      <c r="K17" s="168">
        <v>8.16</v>
      </c>
      <c r="L17" s="169">
        <f>'Bilan -7°C'!AB95</f>
        <v>0</v>
      </c>
      <c r="M17" s="169">
        <f>'Bilan -7°C'!AB94</f>
        <v>0</v>
      </c>
      <c r="N17" s="169">
        <f>'Bilan -7°C'!$D$92</f>
        <v>250</v>
      </c>
    </row>
    <row r="18" spans="1:14" x14ac:dyDescent="0.25">
      <c r="A18" s="168">
        <v>8.16</v>
      </c>
      <c r="B18" s="169">
        <f>B17</f>
        <v>0</v>
      </c>
      <c r="C18" s="169">
        <f>C17</f>
        <v>0</v>
      </c>
      <c r="D18" s="169">
        <f>'Bilan -7°C'!D92</f>
        <v>250</v>
      </c>
      <c r="F18" s="169">
        <v>15</v>
      </c>
      <c r="G18" s="169">
        <f>G17</f>
        <v>0</v>
      </c>
      <c r="H18" s="169">
        <f>H17</f>
        <v>0</v>
      </c>
      <c r="I18" s="169">
        <f>'Bilan -7°C'!$D$92</f>
        <v>250</v>
      </c>
      <c r="K18" s="168">
        <v>15</v>
      </c>
      <c r="L18" s="169">
        <f>L17</f>
        <v>0</v>
      </c>
      <c r="M18" s="169">
        <f>M17</f>
        <v>0</v>
      </c>
      <c r="N18" s="169">
        <f>'Bilan -7°C'!$D$92</f>
        <v>250</v>
      </c>
    </row>
    <row r="19" spans="1:14" x14ac:dyDescent="0.25">
      <c r="A19" s="169">
        <v>8.16</v>
      </c>
      <c r="B19" s="169">
        <f>'Bilan -7°C'!N95</f>
        <v>0</v>
      </c>
      <c r="C19" s="169">
        <f>'Bilan -7°C'!N94</f>
        <v>0</v>
      </c>
      <c r="D19" s="169">
        <f>'Bilan -7°C'!D92</f>
        <v>250</v>
      </c>
      <c r="F19" s="168">
        <v>15</v>
      </c>
      <c r="G19" s="169">
        <f>'Bilan -7°C'!V95</f>
        <v>0</v>
      </c>
      <c r="H19" s="169">
        <f>'Bilan -7°C'!V94</f>
        <v>0</v>
      </c>
      <c r="I19" s="169">
        <f>'Bilan -7°C'!$D$92</f>
        <v>250</v>
      </c>
      <c r="K19" s="168">
        <v>15</v>
      </c>
      <c r="L19" s="169">
        <f>'Bilan -7°C'!AC95</f>
        <v>0</v>
      </c>
      <c r="M19" s="169">
        <f>'Bilan -7°C'!AC94</f>
        <v>0</v>
      </c>
      <c r="N19" s="169">
        <f>'Bilan -7°C'!$D$92</f>
        <v>250</v>
      </c>
    </row>
    <row r="20" spans="1:14" x14ac:dyDescent="0.25">
      <c r="A20" s="270">
        <v>12.25</v>
      </c>
      <c r="B20" s="169">
        <f>B19</f>
        <v>0</v>
      </c>
      <c r="C20" s="169">
        <f>C19</f>
        <v>0</v>
      </c>
      <c r="D20" s="169">
        <f>'Bilan -7°C'!D92</f>
        <v>250</v>
      </c>
      <c r="F20" s="169">
        <v>25</v>
      </c>
      <c r="G20" s="169">
        <f>G19</f>
        <v>0</v>
      </c>
      <c r="H20" s="169">
        <f>H19</f>
        <v>0</v>
      </c>
      <c r="I20" s="169">
        <f>'Bilan -7°C'!$D$92</f>
        <v>250</v>
      </c>
      <c r="K20" s="169">
        <v>25</v>
      </c>
      <c r="L20" s="169">
        <f>L19</f>
        <v>0</v>
      </c>
      <c r="M20" s="169">
        <f>M19</f>
        <v>0</v>
      </c>
      <c r="N20" s="169">
        <f>'Bilan -7°C'!$D$92</f>
        <v>250</v>
      </c>
    </row>
    <row r="21" spans="1:14" x14ac:dyDescent="0.25">
      <c r="A21" s="168">
        <v>12.25</v>
      </c>
      <c r="B21" s="169">
        <f>'Bilan -7°C'!O95</f>
        <v>0</v>
      </c>
      <c r="C21" s="169">
        <f>'Bilan -7°C'!O94</f>
        <v>0</v>
      </c>
      <c r="D21" s="169">
        <f>'Bilan -7°C'!D92</f>
        <v>250</v>
      </c>
      <c r="F21" s="169">
        <v>25</v>
      </c>
      <c r="G21" s="169">
        <f>'Bilan -7°C'!W95</f>
        <v>0</v>
      </c>
      <c r="H21" s="169">
        <f>'Bilan -7°C'!W94</f>
        <v>0</v>
      </c>
      <c r="I21" s="169">
        <f>'Bilan -7°C'!$D$92</f>
        <v>250</v>
      </c>
      <c r="K21" s="169">
        <v>25</v>
      </c>
      <c r="L21" s="169">
        <f>'Bilan -7°C'!AD95</f>
        <v>0</v>
      </c>
      <c r="M21" s="169">
        <f>'Bilan -7°C'!AD94</f>
        <v>0</v>
      </c>
      <c r="N21" s="169">
        <f>'Bilan -7°C'!$D$92</f>
        <v>250</v>
      </c>
    </row>
    <row r="22" spans="1:14" x14ac:dyDescent="0.25">
      <c r="A22" s="168">
        <v>25</v>
      </c>
      <c r="B22" s="169">
        <f>B21</f>
        <v>0</v>
      </c>
      <c r="C22" s="169">
        <f>C21</f>
        <v>0</v>
      </c>
      <c r="D22" s="169">
        <f>'Bilan -7°C'!D92</f>
        <v>250</v>
      </c>
      <c r="F22" s="168">
        <v>30</v>
      </c>
      <c r="G22" s="169">
        <f>G21</f>
        <v>0</v>
      </c>
      <c r="H22" s="169">
        <f>H21</f>
        <v>0</v>
      </c>
      <c r="I22" s="169">
        <f>'Bilan -7°C'!$D$92</f>
        <v>250</v>
      </c>
      <c r="K22" s="168">
        <v>30</v>
      </c>
      <c r="L22" s="169">
        <f>L21</f>
        <v>0</v>
      </c>
      <c r="M22" s="169">
        <f>M21</f>
        <v>0</v>
      </c>
      <c r="N22" s="169">
        <f>'Bilan -7°C'!$D$92</f>
        <v>250</v>
      </c>
    </row>
    <row r="23" spans="1:14" x14ac:dyDescent="0.25">
      <c r="A23" s="168">
        <v>25</v>
      </c>
      <c r="B23" s="169">
        <f>'Bilan -7°C'!P95</f>
        <v>0</v>
      </c>
      <c r="C23" s="169">
        <f>'Bilan -7°C'!P94</f>
        <v>0</v>
      </c>
      <c r="D23" s="169">
        <f>'Bilan -7°C'!D92</f>
        <v>250</v>
      </c>
      <c r="F23" s="168"/>
      <c r="G23" s="169"/>
      <c r="H23" s="169"/>
      <c r="I23" s="169"/>
      <c r="K23" s="169"/>
      <c r="L23" s="169"/>
      <c r="M23" s="169"/>
      <c r="N23" s="169"/>
    </row>
    <row r="24" spans="1:14" x14ac:dyDescent="0.25">
      <c r="A24" s="168">
        <v>30</v>
      </c>
      <c r="B24" s="169">
        <f>B23</f>
        <v>0</v>
      </c>
      <c r="C24" s="169">
        <f>C23</f>
        <v>0</v>
      </c>
      <c r="D24" s="169">
        <f>'Bilan -7°C'!D92</f>
        <v>250</v>
      </c>
      <c r="F24" s="168"/>
      <c r="G24" s="169"/>
      <c r="H24" s="169"/>
      <c r="I24" s="169"/>
      <c r="K24" s="169"/>
      <c r="L24" s="169"/>
      <c r="M24" s="169"/>
      <c r="N24" s="169"/>
    </row>
  </sheetData>
  <mergeCells count="3">
    <mergeCell ref="A9:D9"/>
    <mergeCell ref="F9:I9"/>
    <mergeCell ref="K9:N9"/>
  </mergeCells>
  <pageMargins left="0.7" right="0.7" top="0.75" bottom="0.75" header="0.3" footer="0.3"/>
  <pageSetup paperSize="9" orientation="portrait" r:id="rId1"/>
  <headerFooter>
    <oddFooter>&amp;R_x000D_&amp;1#&amp;"Arial"&amp;10&amp;K000000 Confidential 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6317888DDF2441963CC822CB40004B" ma:contentTypeVersion="19" ma:contentTypeDescription="Crée un document." ma:contentTypeScope="" ma:versionID="e89ff4b2e19b0d6f11c6348384c65fec">
  <xsd:schema xmlns:xsd="http://www.w3.org/2001/XMLSchema" xmlns:xs="http://www.w3.org/2001/XMLSchema" xmlns:p="http://schemas.microsoft.com/office/2006/metadata/properties" xmlns:ns1="http://schemas.microsoft.com/sharepoint/v3" xmlns:ns2="89eee2e1-4270-4b46-bf08-0a9992a8a952" xmlns:ns3="227f9243-2f79-4ae6-81d4-44ffc91adad2" targetNamespace="http://schemas.microsoft.com/office/2006/metadata/properties" ma:root="true" ma:fieldsID="03804c6a926864e15e03f001ec174948" ns1:_="" ns2:_="" ns3:_="">
    <xsd:import namespace="http://schemas.microsoft.com/sharepoint/v3"/>
    <xsd:import namespace="89eee2e1-4270-4b46-bf08-0a9992a8a952"/>
    <xsd:import namespace="227f9243-2f79-4ae6-81d4-44ffc91ada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lieu"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eee2e1-4270-4b46-bf08-0a9992a8a9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Balises d’images" ma:readOnly="false" ma:fieldId="{5cf76f15-5ced-4ddc-b409-7134ff3c332f}" ma:taxonomyMulti="true" ma:sspId="2bbfa71a-d75e-4d15-90e8-ced09d00e4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ieu" ma:index="23" nillable="true" ma:displayName="lieu" ma:format="Hyperlink" ma:internalName="lieu">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7f9243-2f79-4ae6-81d4-44ffc91adad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20" nillable="true" ma:displayName="Taxonomy Catch All Column" ma:hidden="true" ma:list="{fdc0e903-6e76-4914-8aa3-9cbac9f7cdc3}" ma:internalName="TaxCatchAll" ma:showField="CatchAllData" ma:web="227f9243-2f79-4ae6-81d4-44ffc91ada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9eee2e1-4270-4b46-bf08-0a9992a8a952">
      <Terms xmlns="http://schemas.microsoft.com/office/infopath/2007/PartnerControls"/>
    </lcf76f155ced4ddcb4097134ff3c332f>
    <_ip_UnifiedCompliancePolicyProperties xmlns="http://schemas.microsoft.com/sharepoint/v3" xsi:nil="true"/>
    <TaxCatchAll xmlns="227f9243-2f79-4ae6-81d4-44ffc91adad2" xsi:nil="true"/>
    <lieu xmlns="89eee2e1-4270-4b46-bf08-0a9992a8a952">
      <Url xsi:nil="true"/>
      <Description xsi:nil="true"/>
    </lieu>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A9897A-FD3D-4B90-953E-CC0AC4B924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eee2e1-4270-4b46-bf08-0a9992a8a952"/>
    <ds:schemaRef ds:uri="227f9243-2f79-4ae6-81d4-44ffc91ad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C6CCF9-492E-4EC4-BDCC-DC5C65A48468}">
  <ds:schemaRefs>
    <ds:schemaRef ds:uri="http://purl.org/dc/terms/"/>
    <ds:schemaRef ds:uri="http://schemas.openxmlformats.org/package/2006/metadata/core-properties"/>
    <ds:schemaRef ds:uri="http://schemas.microsoft.com/sharepoint/v3"/>
    <ds:schemaRef ds:uri="http://purl.org/dc/elements/1.1/"/>
    <ds:schemaRef ds:uri="89eee2e1-4270-4b46-bf08-0a9992a8a952"/>
    <ds:schemaRef ds:uri="http://schemas.microsoft.com/office/2006/documentManagement/types"/>
    <ds:schemaRef ds:uri="http://purl.org/dc/dcmitype/"/>
    <ds:schemaRef ds:uri="227f9243-2f79-4ae6-81d4-44ffc91adad2"/>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712B956-C918-49A6-977F-3AAC83771E0D}">
  <ds:schemaRefs>
    <ds:schemaRef ds:uri="http://schemas.microsoft.com/sharepoint/v3/contenttype/forms"/>
  </ds:schemaRefs>
</ds:datastoreItem>
</file>

<file path=docMetadata/LabelInfo.xml><?xml version="1.0" encoding="utf-8"?>
<clbl:labelList xmlns:clbl="http://schemas.microsoft.com/office/2020/mipLabelMetadata">
  <clbl:label id="{fd1c0902-ed92-4fed-896d-2e7725de02d4}" enabled="1" method="Standard" siteId="{d6b0bbee-7cd9-4d60-bce6-4a67b543e2a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3</vt:i4>
      </vt:variant>
    </vt:vector>
  </HeadingPairs>
  <TitlesOfParts>
    <vt:vector size="9" baseType="lpstr">
      <vt:lpstr>Update</vt:lpstr>
      <vt:lpstr>Définition</vt:lpstr>
      <vt:lpstr>Bilan DCDC</vt:lpstr>
      <vt:lpstr>Graph</vt:lpstr>
      <vt:lpstr>Bilan -7°C</vt:lpstr>
      <vt:lpstr>Graph -7°C</vt:lpstr>
      <vt:lpstr>'Bilan -7°C'!Criteres</vt:lpstr>
      <vt:lpstr>'Bilan -7°C'!Zone_d_impression</vt:lpstr>
      <vt:lpstr>'Bilan DCDC'!Zone_d_impression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DAUGERON Patrick (AMPERE)</dc:creator>
  <cp:keywords/>
  <dc:description/>
  <cp:lastModifiedBy>DJEMAI Lilia (AMPERE)</cp:lastModifiedBy>
  <cp:revision/>
  <dcterms:created xsi:type="dcterms:W3CDTF">2025-07-03T14:19:44Z</dcterms:created>
  <dcterms:modified xsi:type="dcterms:W3CDTF">2026-04-21T12:29:36Z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0x010100816317888DDF2441963CC822CB40004B</vt:lpwstr>
  </property>
  <property fmtid="{D5CDD505-2E9C-101B-9397-08002B2CF9AE}" pid="3" name="MediaServiceImageTags">
    <vt:lpwstr/>
  </property>
</Properties>
</file>